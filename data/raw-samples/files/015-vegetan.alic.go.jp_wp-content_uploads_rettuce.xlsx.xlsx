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2160EDDB-D40E-49D4-951B-F564319A6497}" xr6:coauthVersionLast="47" xr6:coauthVersionMax="47" xr10:uidLastSave="{00000000-0000-0000-0000-000000000000}"/>
  <bookViews>
    <workbookView xWindow="1152" yWindow="1152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5" l="1"/>
  <c r="X6" i="5"/>
  <c r="X7" i="5"/>
  <c r="X8" i="5"/>
  <c r="X9" i="5"/>
  <c r="X10" i="5"/>
  <c r="X11" i="5"/>
  <c r="X12" i="5"/>
  <c r="X13" i="5"/>
  <c r="X14" i="5"/>
  <c r="X15" i="5"/>
  <c r="X16" i="5"/>
  <c r="X4" i="5"/>
  <c r="W16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<sst xmlns="http://schemas.openxmlformats.org/spreadsheetml/2006/main" count="38" uniqueCount="38">
  <si>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</si>
  <si>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</si>
  <si>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</si>
  <si>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</si>
  <si>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</si>
  <si>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</si>
  <si>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</si>
  <si>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</si>
  <si>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</si>
  <si>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</si>
  <si>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</si>
  <si>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</si>
  <si>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</si>
  <si>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</si>
  <si>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</si>
  <si>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</si>
  <si>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レタス</t>
    <phoneticPr fontId="1"/>
  </si>
  <si>
    <t>（単位：円/kg）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</si>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</sst>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レタスの小売価格の推移（東京都区部）</a:t>
            </a:r>
          </a:p>
        </c:rich>
      </c:tx>
      <c:layout>
        <c:manualLayout>
          <c:xMode val="edge"/>
          <c:yMode val="edge"/>
          <c:x val="0.36874998497585976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4166666666667"/>
          <c:y val="0.1111111111111111"/>
          <c:w val="0.73645833333333333"/>
          <c:h val="0.73905723905723908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6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601</c:v>
                </c:pt>
                <c:pt idx="1">
                  <c:v>494</c:v>
                </c:pt>
                <c:pt idx="2">
                  <c:v>496</c:v>
                </c:pt>
                <c:pt idx="3">
                  <c:v>599</c:v>
                </c:pt>
                <c:pt idx="4">
                  <c:v>470</c:v>
                </c:pt>
                <c:pt idx="5">
                  <c:v>373</c:v>
                </c:pt>
                <c:pt idx="6">
                  <c:v>338</c:v>
                </c:pt>
                <c:pt idx="7">
                  <c:v>445</c:v>
                </c:pt>
                <c:pt idx="8">
                  <c:v>632</c:v>
                </c:pt>
                <c:pt idx="9">
                  <c:v>629</c:v>
                </c:pt>
                <c:pt idx="10">
                  <c:v>557</c:v>
                </c:pt>
                <c:pt idx="11">
                  <c:v>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D-4DEE-AF0A-89AC2F47F4CA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1004</c:v>
                </c:pt>
                <c:pt idx="1">
                  <c:v>739</c:v>
                </c:pt>
                <c:pt idx="2">
                  <c:v>645</c:v>
                </c:pt>
                <c:pt idx="3">
                  <c:v>457</c:v>
                </c:pt>
                <c:pt idx="4">
                  <c:v>341</c:v>
                </c:pt>
                <c:pt idx="5">
                  <c:v>321</c:v>
                </c:pt>
                <c:pt idx="6">
                  <c:v>334</c:v>
                </c:pt>
                <c:pt idx="7">
                  <c:v>453</c:v>
                </c:pt>
                <c:pt idx="8">
                  <c:v>586</c:v>
                </c:pt>
                <c:pt idx="9">
                  <c:v>499</c:v>
                </c:pt>
                <c:pt idx="10">
                  <c:v>494</c:v>
                </c:pt>
                <c:pt idx="11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D-4DEE-AF0A-89AC2F47F4CA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614</c:v>
                </c:pt>
                <c:pt idx="1">
                  <c:v>608</c:v>
                </c:pt>
                <c:pt idx="2">
                  <c:v>456</c:v>
                </c:pt>
                <c:pt idx="3">
                  <c:v>401</c:v>
                </c:pt>
                <c:pt idx="4">
                  <c:v>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AD-4DEE-AF0A-89AC2F47F4CA}"/>
            </c:ext>
          </c:extLst>
        </c:ser>
        <c:ser>
          <c:idx val="1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diamond"/>
            <c:size val="7"/>
            <c:spPr>
              <a:solidFill>
                <a:srgbClr val="92D050"/>
              </a:solidFill>
              <a:ln>
                <a:noFill/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671.8</c:v>
                </c:pt>
                <c:pt idx="1">
                  <c:v>581</c:v>
                </c:pt>
                <c:pt idx="2">
                  <c:v>483</c:v>
                </c:pt>
                <c:pt idx="3">
                  <c:v>443</c:v>
                </c:pt>
                <c:pt idx="4">
                  <c:v>376.8</c:v>
                </c:pt>
                <c:pt idx="5">
                  <c:v>355.6</c:v>
                </c:pt>
                <c:pt idx="6">
                  <c:v>327.8</c:v>
                </c:pt>
                <c:pt idx="7">
                  <c:v>400.2</c:v>
                </c:pt>
                <c:pt idx="8">
                  <c:v>606.6</c:v>
                </c:pt>
                <c:pt idx="9">
                  <c:v>502</c:v>
                </c:pt>
                <c:pt idx="10">
                  <c:v>465.4</c:v>
                </c:pt>
                <c:pt idx="11">
                  <c:v>569.20000000000005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AD-4DEE-AF0A-89AC2F47F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204128"/>
        <c:axId val="1"/>
      </c:lineChart>
      <c:catAx>
        <c:axId val="45820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345227119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58204128"/>
        <c:crosses val="autoZero"/>
        <c:crossBetween val="between"/>
      </c:valAx>
      <c:spPr>
        <a:pattFill prst="pct5">
          <a:fgClr>
            <a:schemeClr val="accent5">
              <a:lumMod val="20000"/>
              <a:lumOff val="80000"/>
            </a:schemeClr>
          </a:fgClr>
          <a:bgClr>
            <a:schemeClr val="bg1"/>
          </a:bgClr>
        </a:patt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750000273166185"/>
          <c:y val="0.32377737255701761"/>
          <c:w val="8.3333387966570527E-2"/>
          <c:h val="0.143338880065660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B01BB42-96B4-432F-9E11-30CA65F54F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6640625" customWidth="1"/>
    <col min="3" max="11" width="9.6640625" hidden="1" customWidth="1"/>
    <col min="12" max="23" width="9.6640625" customWidth="1"/>
  </cols>
  <sheetData>
    <row r="2" spans="2:24" ht="15" customHeight="1" x14ac:dyDescent="0.2">
      <c r="B2" t="s">
        <v>16</v>
      </c>
      <c r="X2" s="2" t="s">
        <v>17</v>
      </c>
    </row>
    <row r="3" spans="2:24" ht="15" customHeight="1" x14ac:dyDescent="0.2">
      <c r="B3" s="1"/>
      <c r="C3" s="3" t="s">
        <v>12</v>
      </c>
      <c r="D3" s="3" t="s">
        <v>13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15</v>
      </c>
    </row>
    <row r="4" spans="2:24" ht="15" customHeight="1" x14ac:dyDescent="0.2">
      <c r="B4" s="5" t="s">
        <v>0</v>
      </c>
      <c r="C4" s="5">
        <v>615</v>
      </c>
      <c r="D4" s="5">
        <v>857</v>
      </c>
      <c r="E4" s="5">
        <v>437</v>
      </c>
      <c r="F4" s="5">
        <v>629</v>
      </c>
      <c r="G4" s="5">
        <v>639</v>
      </c>
      <c r="H4" s="5">
        <v>502</v>
      </c>
      <c r="I4" s="5">
        <v>690</v>
      </c>
      <c r="J4" s="5">
        <v>904</v>
      </c>
      <c r="K4" s="5">
        <v>684</v>
      </c>
      <c r="L4" s="5">
        <v>827</v>
      </c>
      <c r="M4" s="5">
        <v>586</v>
      </c>
      <c r="N4" s="5">
        <v>501</v>
      </c>
      <c r="O4" s="5">
        <v>1221</v>
      </c>
      <c r="P4" s="5">
        <v>507</v>
      </c>
      <c r="Q4" s="5">
        <v>506</v>
      </c>
      <c r="R4" s="5">
        <v>519</v>
      </c>
      <c r="S4" s="5">
        <v>593</v>
      </c>
      <c r="T4" s="5">
        <v>642</v>
      </c>
      <c r="U4" s="5">
        <v>601</v>
      </c>
      <c r="V4" s="5">
        <v>1004</v>
      </c>
      <c r="W4" s="5">
        <v>614</v>
      </c>
      <c r="X4" s="5">
        <f>AVERAGE(R4:V4)</f>
        <v>671.8</v>
      </c>
    </row>
    <row r="5" spans="2:24" ht="15" customHeight="1" x14ac:dyDescent="0.2">
      <c r="B5" s="6" t="s">
        <v>1</v>
      </c>
      <c r="C5" s="6">
        <v>549</v>
      </c>
      <c r="D5" s="6">
        <v>576</v>
      </c>
      <c r="E5" s="6">
        <v>470</v>
      </c>
      <c r="F5" s="6">
        <v>449</v>
      </c>
      <c r="G5" s="6">
        <v>530</v>
      </c>
      <c r="H5" s="6">
        <v>635</v>
      </c>
      <c r="I5" s="6">
        <v>691</v>
      </c>
      <c r="J5" s="6">
        <v>722</v>
      </c>
      <c r="K5" s="6">
        <v>578</v>
      </c>
      <c r="L5" s="6">
        <v>576</v>
      </c>
      <c r="M5" s="6">
        <v>583</v>
      </c>
      <c r="N5" s="6">
        <v>519</v>
      </c>
      <c r="O5" s="6">
        <v>929</v>
      </c>
      <c r="P5" s="6">
        <v>467</v>
      </c>
      <c r="Q5" s="6">
        <v>414</v>
      </c>
      <c r="R5" s="6">
        <v>445</v>
      </c>
      <c r="S5" s="6">
        <v>649</v>
      </c>
      <c r="T5" s="6">
        <v>578</v>
      </c>
      <c r="U5" s="6">
        <v>494</v>
      </c>
      <c r="V5" s="6">
        <v>739</v>
      </c>
      <c r="W5" s="6">
        <v>608</v>
      </c>
      <c r="X5" s="6">
        <f t="shared" ref="X5:X16" si="0">AVERAGE(R5:V5)</f>
        <v>581</v>
      </c>
    </row>
    <row r="6" spans="2:24" ht="15" customHeight="1" x14ac:dyDescent="0.2">
      <c r="B6" s="6" t="s">
        <v>2</v>
      </c>
      <c r="C6" s="6">
        <v>526</v>
      </c>
      <c r="D6" s="6">
        <v>404</v>
      </c>
      <c r="E6" s="6">
        <v>500</v>
      </c>
      <c r="F6" s="6">
        <v>452</v>
      </c>
      <c r="G6" s="6">
        <v>479</v>
      </c>
      <c r="H6" s="6">
        <v>435</v>
      </c>
      <c r="I6" s="6">
        <v>692</v>
      </c>
      <c r="J6" s="6">
        <v>434</v>
      </c>
      <c r="K6" s="6">
        <v>459</v>
      </c>
      <c r="L6" s="6">
        <v>511</v>
      </c>
      <c r="M6" s="6">
        <v>621</v>
      </c>
      <c r="N6" s="6">
        <v>427</v>
      </c>
      <c r="O6" s="6">
        <v>521</v>
      </c>
      <c r="P6" s="6">
        <v>365</v>
      </c>
      <c r="Q6" s="6">
        <v>389</v>
      </c>
      <c r="R6" s="6">
        <v>326</v>
      </c>
      <c r="S6" s="6">
        <v>491</v>
      </c>
      <c r="T6" s="6">
        <v>457</v>
      </c>
      <c r="U6" s="6">
        <v>496</v>
      </c>
      <c r="V6" s="6">
        <v>645</v>
      </c>
      <c r="W6" s="6">
        <v>456</v>
      </c>
      <c r="X6" s="6">
        <f t="shared" si="0"/>
        <v>483</v>
      </c>
    </row>
    <row r="7" spans="2:24" ht="15" customHeight="1" x14ac:dyDescent="0.2">
      <c r="B7" s="6" t="s">
        <v>3</v>
      </c>
      <c r="C7" s="6">
        <v>451</v>
      </c>
      <c r="D7" s="6">
        <v>358</v>
      </c>
      <c r="E7" s="6">
        <v>411</v>
      </c>
      <c r="F7" s="6">
        <v>460</v>
      </c>
      <c r="G7" s="6">
        <v>596</v>
      </c>
      <c r="H7" s="6">
        <v>348</v>
      </c>
      <c r="I7" s="6">
        <v>513</v>
      </c>
      <c r="J7" s="6">
        <v>426</v>
      </c>
      <c r="K7" s="6">
        <v>381</v>
      </c>
      <c r="L7" s="6">
        <v>555</v>
      </c>
      <c r="M7" s="6">
        <v>494</v>
      </c>
      <c r="N7" s="6">
        <v>443</v>
      </c>
      <c r="O7" s="6">
        <v>341</v>
      </c>
      <c r="P7" s="6">
        <v>411</v>
      </c>
      <c r="Q7" s="6">
        <v>493</v>
      </c>
      <c r="R7" s="6">
        <v>302</v>
      </c>
      <c r="S7" s="6">
        <v>430</v>
      </c>
      <c r="T7" s="6">
        <v>427</v>
      </c>
      <c r="U7" s="6">
        <v>599</v>
      </c>
      <c r="V7" s="6">
        <v>457</v>
      </c>
      <c r="W7" s="6">
        <v>401</v>
      </c>
      <c r="X7" s="6">
        <f t="shared" si="0"/>
        <v>443</v>
      </c>
    </row>
    <row r="8" spans="2:24" ht="15" customHeight="1" x14ac:dyDescent="0.2">
      <c r="B8" s="6" t="s">
        <v>4</v>
      </c>
      <c r="C8" s="6">
        <v>351</v>
      </c>
      <c r="D8" s="6">
        <v>375</v>
      </c>
      <c r="E8" s="6">
        <v>307</v>
      </c>
      <c r="F8" s="6">
        <v>384</v>
      </c>
      <c r="G8" s="6">
        <v>468</v>
      </c>
      <c r="H8" s="6">
        <v>277</v>
      </c>
      <c r="I8" s="6">
        <v>409</v>
      </c>
      <c r="J8" s="6">
        <v>318</v>
      </c>
      <c r="K8" s="6">
        <v>351</v>
      </c>
      <c r="L8" s="6">
        <v>440</v>
      </c>
      <c r="M8" s="6">
        <v>388</v>
      </c>
      <c r="N8" s="6">
        <v>389</v>
      </c>
      <c r="O8" s="6">
        <v>327</v>
      </c>
      <c r="P8" s="6">
        <v>363</v>
      </c>
      <c r="Q8" s="6">
        <v>462</v>
      </c>
      <c r="R8" s="6">
        <v>320</v>
      </c>
      <c r="S8" s="6">
        <v>383</v>
      </c>
      <c r="T8" s="6">
        <v>370</v>
      </c>
      <c r="U8" s="6">
        <v>470</v>
      </c>
      <c r="V8" s="6">
        <v>341</v>
      </c>
      <c r="W8" s="6">
        <v>377</v>
      </c>
      <c r="X8" s="6">
        <f t="shared" si="0"/>
        <v>376.8</v>
      </c>
    </row>
    <row r="9" spans="2:24" ht="15" customHeight="1" x14ac:dyDescent="0.2">
      <c r="B9" s="6" t="s">
        <v>5</v>
      </c>
      <c r="C9" s="6">
        <v>269</v>
      </c>
      <c r="D9" s="6">
        <v>358</v>
      </c>
      <c r="E9" s="6">
        <v>376</v>
      </c>
      <c r="F9" s="6">
        <v>324</v>
      </c>
      <c r="G9" s="6">
        <v>377</v>
      </c>
      <c r="H9" s="6">
        <v>306</v>
      </c>
      <c r="I9" s="6">
        <v>305</v>
      </c>
      <c r="J9" s="6">
        <v>274</v>
      </c>
      <c r="K9" s="6">
        <v>321</v>
      </c>
      <c r="L9" s="6">
        <v>392</v>
      </c>
      <c r="M9" s="6">
        <v>347</v>
      </c>
      <c r="N9" s="6">
        <v>315</v>
      </c>
      <c r="O9" s="6">
        <v>304</v>
      </c>
      <c r="P9" s="6">
        <v>316</v>
      </c>
      <c r="Q9" s="6">
        <v>341</v>
      </c>
      <c r="R9" s="6">
        <v>360</v>
      </c>
      <c r="S9" s="6">
        <v>379</v>
      </c>
      <c r="T9" s="6">
        <v>345</v>
      </c>
      <c r="U9" s="6">
        <v>373</v>
      </c>
      <c r="V9" s="6">
        <v>321</v>
      </c>
      <c r="W9" s="6"/>
      <c r="X9" s="6">
        <f t="shared" si="0"/>
        <v>355.6</v>
      </c>
    </row>
    <row r="10" spans="2:24" ht="15" customHeight="1" x14ac:dyDescent="0.2">
      <c r="B10" s="6" t="s">
        <v>6</v>
      </c>
      <c r="C10" s="6">
        <v>291</v>
      </c>
      <c r="D10" s="6">
        <v>284</v>
      </c>
      <c r="E10" s="6">
        <v>314</v>
      </c>
      <c r="F10" s="6">
        <v>310</v>
      </c>
      <c r="G10" s="6">
        <v>317</v>
      </c>
      <c r="H10" s="6">
        <v>306</v>
      </c>
      <c r="I10" s="6">
        <v>292</v>
      </c>
      <c r="J10" s="6">
        <v>385</v>
      </c>
      <c r="K10" s="6">
        <v>358</v>
      </c>
      <c r="L10" s="6">
        <v>437</v>
      </c>
      <c r="M10" s="6">
        <v>301</v>
      </c>
      <c r="N10" s="6">
        <v>273</v>
      </c>
      <c r="O10" s="6">
        <v>321</v>
      </c>
      <c r="P10" s="6">
        <v>299</v>
      </c>
      <c r="Q10" s="6">
        <v>372</v>
      </c>
      <c r="R10" s="6">
        <v>326</v>
      </c>
      <c r="S10" s="6">
        <v>307</v>
      </c>
      <c r="T10" s="6">
        <v>334</v>
      </c>
      <c r="U10" s="6">
        <v>338</v>
      </c>
      <c r="V10" s="6">
        <v>334</v>
      </c>
      <c r="W10" s="6"/>
      <c r="X10" s="6">
        <f t="shared" si="0"/>
        <v>327.8</v>
      </c>
    </row>
    <row r="11" spans="2:24" ht="15" customHeight="1" x14ac:dyDescent="0.2">
      <c r="B11" s="6" t="s">
        <v>7</v>
      </c>
      <c r="C11" s="6">
        <v>316</v>
      </c>
      <c r="D11" s="6">
        <v>501</v>
      </c>
      <c r="E11" s="6">
        <v>362</v>
      </c>
      <c r="F11" s="6">
        <v>523</v>
      </c>
      <c r="G11" s="6">
        <v>536</v>
      </c>
      <c r="H11" s="6">
        <v>351</v>
      </c>
      <c r="I11" s="6">
        <v>296</v>
      </c>
      <c r="J11" s="6">
        <v>371</v>
      </c>
      <c r="K11" s="6">
        <v>446</v>
      </c>
      <c r="L11" s="6">
        <v>504</v>
      </c>
      <c r="M11" s="6">
        <v>317</v>
      </c>
      <c r="N11" s="6">
        <v>331</v>
      </c>
      <c r="O11" s="6">
        <v>394</v>
      </c>
      <c r="P11" s="6">
        <v>405</v>
      </c>
      <c r="Q11" s="6">
        <v>816</v>
      </c>
      <c r="R11" s="6">
        <v>406</v>
      </c>
      <c r="S11" s="6">
        <v>332</v>
      </c>
      <c r="T11" s="6">
        <v>365</v>
      </c>
      <c r="U11" s="6">
        <v>445</v>
      </c>
      <c r="V11" s="6">
        <v>453</v>
      </c>
      <c r="W11" s="6"/>
      <c r="X11" s="6">
        <f t="shared" si="0"/>
        <v>400.2</v>
      </c>
    </row>
    <row r="12" spans="2:24" ht="15" customHeight="1" x14ac:dyDescent="0.2">
      <c r="B12" s="6" t="s">
        <v>8</v>
      </c>
      <c r="C12" s="6">
        <v>456</v>
      </c>
      <c r="D12" s="6">
        <v>406</v>
      </c>
      <c r="E12" s="6">
        <v>559</v>
      </c>
      <c r="F12" s="6">
        <v>449</v>
      </c>
      <c r="G12" s="6">
        <v>515</v>
      </c>
      <c r="H12" s="6">
        <v>800</v>
      </c>
      <c r="I12" s="6">
        <v>307</v>
      </c>
      <c r="J12" s="6">
        <v>461</v>
      </c>
      <c r="K12" s="6">
        <v>871</v>
      </c>
      <c r="L12" s="6">
        <v>669</v>
      </c>
      <c r="M12" s="6">
        <v>544</v>
      </c>
      <c r="N12" s="6">
        <v>483</v>
      </c>
      <c r="O12" s="6">
        <v>444</v>
      </c>
      <c r="P12" s="6">
        <v>481</v>
      </c>
      <c r="Q12" s="6">
        <v>391</v>
      </c>
      <c r="R12" s="6">
        <v>848</v>
      </c>
      <c r="S12" s="6">
        <v>444</v>
      </c>
      <c r="T12" s="6">
        <v>523</v>
      </c>
      <c r="U12" s="6">
        <v>632</v>
      </c>
      <c r="V12" s="6">
        <v>586</v>
      </c>
      <c r="W12" s="6"/>
      <c r="X12" s="6">
        <f t="shared" si="0"/>
        <v>606.6</v>
      </c>
    </row>
    <row r="13" spans="2:24" ht="15" customHeight="1" x14ac:dyDescent="0.2">
      <c r="B13" s="6" t="s">
        <v>9</v>
      </c>
      <c r="C13" s="6">
        <v>393</v>
      </c>
      <c r="D13" s="6">
        <v>383</v>
      </c>
      <c r="E13" s="6">
        <v>523</v>
      </c>
      <c r="F13" s="6">
        <v>279</v>
      </c>
      <c r="G13" s="6">
        <v>668</v>
      </c>
      <c r="H13" s="6">
        <v>540</v>
      </c>
      <c r="I13" s="6">
        <v>325</v>
      </c>
      <c r="J13" s="6">
        <v>432</v>
      </c>
      <c r="K13" s="6">
        <v>378</v>
      </c>
      <c r="L13" s="6">
        <v>710</v>
      </c>
      <c r="M13" s="6">
        <v>1125</v>
      </c>
      <c r="N13" s="6">
        <v>330</v>
      </c>
      <c r="O13" s="6">
        <v>523</v>
      </c>
      <c r="P13" s="6">
        <v>433</v>
      </c>
      <c r="Q13" s="6">
        <v>367</v>
      </c>
      <c r="R13" s="6">
        <v>439</v>
      </c>
      <c r="S13" s="6">
        <v>440</v>
      </c>
      <c r="T13" s="6">
        <v>503</v>
      </c>
      <c r="U13" s="6">
        <v>629</v>
      </c>
      <c r="V13" s="6">
        <v>499</v>
      </c>
      <c r="W13" s="6"/>
      <c r="X13" s="6">
        <f t="shared" si="0"/>
        <v>502</v>
      </c>
    </row>
    <row r="14" spans="2:24" ht="15" customHeight="1" x14ac:dyDescent="0.2">
      <c r="B14" s="6" t="s">
        <v>10</v>
      </c>
      <c r="C14" s="6">
        <v>420</v>
      </c>
      <c r="D14" s="6">
        <v>275</v>
      </c>
      <c r="E14" s="6">
        <v>407</v>
      </c>
      <c r="F14" s="6">
        <v>283</v>
      </c>
      <c r="G14" s="6">
        <v>520</v>
      </c>
      <c r="H14" s="6">
        <v>335</v>
      </c>
      <c r="I14" s="6">
        <v>382</v>
      </c>
      <c r="J14" s="6">
        <v>584</v>
      </c>
      <c r="K14" s="6">
        <v>323</v>
      </c>
      <c r="L14" s="6">
        <v>389</v>
      </c>
      <c r="M14" s="6">
        <v>687</v>
      </c>
      <c r="N14" s="6">
        <v>887</v>
      </c>
      <c r="O14" s="6">
        <v>373</v>
      </c>
      <c r="P14" s="6">
        <v>577</v>
      </c>
      <c r="Q14" s="6">
        <v>323</v>
      </c>
      <c r="R14" s="6">
        <v>360</v>
      </c>
      <c r="S14" s="6">
        <v>484</v>
      </c>
      <c r="T14" s="6">
        <v>432</v>
      </c>
      <c r="U14" s="6">
        <v>557</v>
      </c>
      <c r="V14" s="6">
        <v>494</v>
      </c>
      <c r="W14" s="6"/>
      <c r="X14" s="6">
        <f t="shared" si="0"/>
        <v>465.4</v>
      </c>
    </row>
    <row r="15" spans="2:24" ht="15" customHeight="1" x14ac:dyDescent="0.2">
      <c r="B15" s="7" t="s">
        <v>11</v>
      </c>
      <c r="C15" s="7">
        <v>467</v>
      </c>
      <c r="D15" s="7">
        <v>385</v>
      </c>
      <c r="E15" s="5">
        <v>563</v>
      </c>
      <c r="F15" s="5">
        <v>426</v>
      </c>
      <c r="G15" s="5">
        <v>393</v>
      </c>
      <c r="H15" s="5">
        <v>440</v>
      </c>
      <c r="I15" s="5">
        <v>652</v>
      </c>
      <c r="J15" s="5">
        <v>696</v>
      </c>
      <c r="K15" s="5">
        <v>550</v>
      </c>
      <c r="L15" s="5">
        <v>457</v>
      </c>
      <c r="M15" s="5">
        <v>603</v>
      </c>
      <c r="N15" s="5">
        <v>1060</v>
      </c>
      <c r="O15" s="5">
        <v>340</v>
      </c>
      <c r="P15" s="5">
        <v>524</v>
      </c>
      <c r="Q15" s="5">
        <v>311</v>
      </c>
      <c r="R15" s="5">
        <v>371</v>
      </c>
      <c r="S15" s="5">
        <v>404</v>
      </c>
      <c r="T15" s="5">
        <v>568</v>
      </c>
      <c r="U15" s="5">
        <v>983</v>
      </c>
      <c r="V15" s="5">
        <v>520</v>
      </c>
      <c r="W15" s="5"/>
      <c r="X15" s="5">
        <f t="shared" si="0"/>
        <v>569.20000000000005</v>
      </c>
    </row>
    <row r="16" spans="2:24" ht="15" customHeight="1" x14ac:dyDescent="0.2">
      <c r="B16" s="8" t="s">
        <v>14</v>
      </c>
      <c r="C16" s="8">
        <f>AVERAGE(C4:C15)</f>
        <v>425.33333333333331</v>
      </c>
      <c r="D16" s="8">
        <f>AVERAGE(D4:D15)</f>
        <v>430.16666666666669</v>
      </c>
      <c r="E16" s="8">
        <f>AVERAGE(E4:E15)</f>
        <v>435.75</v>
      </c>
      <c r="F16" s="8">
        <f t="shared" ref="F16:K16" si="1">AVERAGE(F4:F15)</f>
        <v>414</v>
      </c>
      <c r="G16" s="8">
        <f t="shared" si="1"/>
        <v>503.16666666666669</v>
      </c>
      <c r="H16" s="8">
        <f t="shared" si="1"/>
        <v>439.58333333333331</v>
      </c>
      <c r="I16" s="8">
        <f t="shared" si="1"/>
        <v>462.83333333333331</v>
      </c>
      <c r="J16" s="8">
        <f t="shared" si="1"/>
        <v>500.58333333333331</v>
      </c>
      <c r="K16" s="8">
        <f t="shared" si="1"/>
        <v>475</v>
      </c>
      <c r="L16" s="8">
        <f t="shared" ref="L16:R16" si="2">AVERAGE(L4:L15)</f>
        <v>538.91666666666663</v>
      </c>
      <c r="M16" s="8">
        <f t="shared" si="2"/>
        <v>549.66666666666663</v>
      </c>
      <c r="N16" s="8">
        <f t="shared" si="2"/>
        <v>496.5</v>
      </c>
      <c r="O16" s="8">
        <f t="shared" si="2"/>
        <v>503.16666666666669</v>
      </c>
      <c r="P16" s="8">
        <f t="shared" si="2"/>
        <v>429</v>
      </c>
      <c r="Q16" s="8">
        <f t="shared" si="2"/>
        <v>432.08333333333331</v>
      </c>
      <c r="R16" s="8">
        <f t="shared" si="2"/>
        <v>418.5</v>
      </c>
      <c r="S16" s="8">
        <f>AVERAGE(S4:S15)</f>
        <v>444.66666666666669</v>
      </c>
      <c r="T16" s="8">
        <f>IFERROR(AVERAGE(T4:T15),"")</f>
        <v>462</v>
      </c>
      <c r="U16" s="8">
        <f>IFERROR(AVERAGE(U4:U15),"")</f>
        <v>551.41666666666663</v>
      </c>
      <c r="V16" s="8">
        <f>IFERROR(AVERAGE(V4:V15),"")</f>
        <v>532.75</v>
      </c>
      <c r="W16" s="8">
        <f>IFERROR(AVERAGE(W4:W15),"")</f>
        <v>491.2</v>
      </c>
      <c r="X16" s="8">
        <f t="shared" si="0"/>
        <v>481.86666666666667</v>
      </c>
    </row>
    <row r="18" spans="2:2" ht="15" customHeight="1" x14ac:dyDescent="0.2">
      <c r="B18" s="4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2007-04-18T06:54:38Z</cp:lastPrinted>
  <dcterms:created xsi:type="dcterms:W3CDTF">2007-03-20T10:21:47Z</dcterms:created>
  <dcterms:modified xsi:type="dcterms:W3CDTF">2026-06-26T00:29:53Z</dcterms:modified>
</cp:coreProperties>
</file>