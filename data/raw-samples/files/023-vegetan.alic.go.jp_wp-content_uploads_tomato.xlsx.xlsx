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ベジ探ホームページコンテンツ\ベジ探データ\総務省小売\小売マスターファイル\yasaikouri\"/>
    </mc:Choice>
  </mc:AlternateContent>
  <xr:revisionPtr revIDLastSave="0" documentId="13_ncr:1_{2B8EEDA9-FCED-4ACA-98ED-68EDA94CE7C9}" xr6:coauthVersionLast="47" xr6:coauthVersionMax="47" xr10:uidLastSave="{00000000-0000-0000-0000-000000000000}"/>
  <bookViews>
    <workbookView xWindow="2112" yWindow="684" windowWidth="19056" windowHeight="11556" xr2:uid="{00000000-000D-0000-FFFF-FFFF00000000}"/>
  </bookViews>
  <sheets>
    <sheet name="Graph" sheetId="7" r:id="rId1"/>
    <sheet name="Sheet１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" i="5" l="1"/>
  <c r="X6" i="5"/>
  <c r="X7" i="5"/>
  <c r="X8" i="5"/>
  <c r="X9" i="5"/>
  <c r="X10" i="5"/>
  <c r="X11" i="5"/>
  <c r="X12" i="5"/>
  <c r="X13" i="5"/>
  <c r="X14" i="5"/>
  <c r="X15" i="5"/>
  <c r="X16" i="5"/>
  <c r="X4" i="5"/>
  <c r="W16" i="5"/>
  <c r="V16" i="5"/>
  <c r="U16" i="5" l="1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C16" i="5"/>
  <c r="D16" i="5"/>
  <c r="E16" i="5"/>
</calcChain>
</file>

<file path=xl/sharedStrings.xml><?xml version="1.0" encoding="utf-8"?>
<sst xmlns="http://schemas.openxmlformats.org/spreadsheetml/2006/main" count="38" uniqueCount="38">
  <si>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</si>
  <si>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</si>
  <si>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</si>
  <si>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</si>
  <si>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</si>
  <si>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</si>
  <si>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</si>
  <si>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</si>
  <si>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</si>
  <si>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</si>
  <si>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</si>
  <si>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</si>
  <si>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平成17年</t>
    <rPh sb="0" eb="2">
      <t>ヘイセイ</t>
    </rPh>
    <rPh sb="4" eb="5">
      <t>ネン</t>
    </rPh>
    <phoneticPr fontId="1"/>
  </si>
  <si>
    <t>平成18年</t>
    <rPh sb="0" eb="2">
      <t>ヘイセイ</t>
    </rPh>
    <rPh sb="4" eb="5">
      <t>ネン</t>
    </rPh>
    <phoneticPr fontId="1"/>
  </si>
  <si>
    <t>年平均値</t>
    <rPh sb="0" eb="1">
      <t>ネン</t>
    </rPh>
    <rPh sb="1" eb="3">
      <t>ヘイキン</t>
    </rPh>
    <rPh sb="3" eb="4">
      <t>チ</t>
    </rPh>
    <phoneticPr fontId="1"/>
  </si>
  <si>
    <t>平年値</t>
    <rPh sb="0" eb="2">
      <t>ヘイネン</t>
    </rPh>
    <rPh sb="2" eb="3">
      <t>チ</t>
    </rPh>
    <phoneticPr fontId="1"/>
  </si>
  <si>
    <t>トマト</t>
    <phoneticPr fontId="1"/>
  </si>
  <si>
    <t>（単位：円/kg）</t>
    <rPh sb="1" eb="3">
      <t>タンイ</t>
    </rPh>
    <rPh sb="4" eb="5">
      <t>エン</t>
    </rPh>
    <phoneticPr fontId="1"/>
  </si>
  <si>
    <t>2008年</t>
    <rPh sb="4" eb="5">
      <t>ネン</t>
    </rPh>
    <phoneticPr fontId="1"/>
  </si>
  <si>
    <t>2009年</t>
    <rPh sb="4" eb="5">
      <t>ネン</t>
    </rPh>
    <phoneticPr fontId="1"/>
  </si>
  <si>
    <t>2010年</t>
    <rPh sb="4" eb="5">
      <t>ネン</t>
    </rPh>
    <phoneticPr fontId="1"/>
  </si>
  <si>
    <t>2011年</t>
    <rPh sb="4" eb="5">
      <t>ネン</t>
    </rPh>
    <phoneticPr fontId="1"/>
  </si>
  <si>
    <t>2012年</t>
    <rPh sb="4" eb="5">
      <t>ネン</t>
    </rPh>
    <phoneticPr fontId="1"/>
  </si>
  <si>
    <t>2013年</t>
    <rPh sb="4" eb="5">
      <t>ネン</t>
    </rPh>
    <phoneticPr fontId="1"/>
  </si>
  <si>
    <t>2014年</t>
    <rPh sb="4" eb="5">
      <t>ネン</t>
    </rPh>
    <phoneticPr fontId="1"/>
  </si>
  <si>
    <t>2015年</t>
    <rPh sb="4" eb="5">
      <t>ネン</t>
    </rPh>
    <phoneticPr fontId="1"/>
  </si>
  <si>
    <t>2016年</t>
    <rPh sb="4" eb="5">
      <t>ネン</t>
    </rPh>
    <phoneticPr fontId="1"/>
  </si>
  <si>
    <t>2017年</t>
    <rPh sb="4" eb="5">
      <t>ネン</t>
    </rPh>
    <phoneticPr fontId="1"/>
  </si>
  <si>
    <t>2018年</t>
    <rPh sb="4" eb="5">
      <t>ネン</t>
    </rPh>
    <phoneticPr fontId="1"/>
  </si>
  <si>
    <t>2019年</t>
    <rPh sb="4" eb="5">
      <t>ネン</t>
    </rPh>
    <phoneticPr fontId="1"/>
  </si>
  <si>
    <t>2020年</t>
    <rPh sb="4" eb="5">
      <t>ネン</t>
    </rPh>
    <phoneticPr fontId="1"/>
  </si>
  <si>
    <t>2021年</t>
    <rPh sb="4" eb="5">
      <t>ネン</t>
    </rPh>
    <phoneticPr fontId="1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</si>
  <si>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</si>
  <si>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</si>
  <si>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</si>
  <si>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</si>
  <si>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</si>
  <si>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 xml:space="preserve"> 注： 平年値とは、過去5ヵ年（2021～2025年）の小売価格の平均値である。</t>
    <rPh sb="6" eb="7">
      <t>チ</t>
    </rPh>
    <rPh sb="25" eb="26">
      <t>ネン</t>
    </rPh>
    <rPh sb="28" eb="30">
      <t>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</si>
</sst>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0" fillId="0" borderId="4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0" borderId="2" xfId="0" applyNumberFormat="1" applyFill="1" applyBorder="1" applyAlignment="1">
      <alignment horizontal="right" vertical="center"/>
    </xf>
    <xf numFmtId="176" fontId="0" fillId="0" borderId="5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トマトの小売価格の推移（東京都区部）</a:t>
            </a:r>
          </a:p>
        </c:rich>
      </c:tx>
      <c:layout>
        <c:manualLayout>
          <c:xMode val="edge"/>
          <c:yMode val="edge"/>
          <c:x val="0.37083336884493756"/>
          <c:y val="2.02023083644144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5"/>
          <c:y val="0.10101010101010101"/>
          <c:w val="0.73645833333333333"/>
          <c:h val="0.73905723905723908"/>
        </c:manualLayout>
      </c:layout>
      <c:lineChart>
        <c:grouping val="standard"/>
        <c:varyColors val="0"/>
        <c:ser>
          <c:idx val="2"/>
          <c:order val="0"/>
          <c:tx>
            <c:strRef>
              <c:f>Sheet１!$U$3</c:f>
              <c:strCache>
                <c:ptCount val="1"/>
                <c:pt idx="0">
                  <c:v>2024年</c:v>
                </c:pt>
              </c:strCache>
            </c:strRef>
          </c:tx>
          <c:spPr>
            <a:ln>
              <a:solidFill>
                <a:srgbClr val="FF3300"/>
              </a:solidFill>
            </a:ln>
          </c:spPr>
          <c:marker>
            <c:symbol val="square"/>
            <c:size val="5"/>
            <c:spPr>
              <a:solidFill>
                <a:srgbClr val="FF3300"/>
              </a:solidFill>
              <a:ln>
                <a:solidFill>
                  <a:srgbClr val="FF3300"/>
                </a:solidFill>
              </a:ln>
            </c:spPr>
          </c:marker>
          <c:val>
            <c:numRef>
              <c:f>Sheet１!$U$4:$U$15</c:f>
              <c:numCache>
                <c:formatCode>General</c:formatCode>
                <c:ptCount val="12"/>
                <c:pt idx="0">
                  <c:v>715</c:v>
                </c:pt>
                <c:pt idx="1">
                  <c:v>701</c:v>
                </c:pt>
                <c:pt idx="2">
                  <c:v>766</c:v>
                </c:pt>
                <c:pt idx="3">
                  <c:v>857</c:v>
                </c:pt>
                <c:pt idx="4">
                  <c:v>760</c:v>
                </c:pt>
                <c:pt idx="5">
                  <c:v>787</c:v>
                </c:pt>
                <c:pt idx="6">
                  <c:v>713</c:v>
                </c:pt>
                <c:pt idx="7">
                  <c:v>766</c:v>
                </c:pt>
                <c:pt idx="8">
                  <c:v>1096</c:v>
                </c:pt>
                <c:pt idx="9">
                  <c:v>1268</c:v>
                </c:pt>
                <c:pt idx="10">
                  <c:v>1156</c:v>
                </c:pt>
                <c:pt idx="11">
                  <c:v>1263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4-433F-A00D-4598AD8B9995}"/>
            </c:ext>
          </c:extLst>
        </c:ser>
        <c:ser>
          <c:idx val="0"/>
          <c:order val="1"/>
          <c:tx>
            <c:strRef>
              <c:f>Sheet１!$V$3</c:f>
              <c:strCache>
                <c:ptCount val="1"/>
                <c:pt idx="0">
                  <c:v>2025年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marker>
          <c:val>
            <c:numRef>
              <c:f>Sheet１!$V$4:$V$15</c:f>
              <c:numCache>
                <c:formatCode>General</c:formatCode>
                <c:ptCount val="12"/>
                <c:pt idx="0">
                  <c:v>1022</c:v>
                </c:pt>
                <c:pt idx="1">
                  <c:v>881</c:v>
                </c:pt>
                <c:pt idx="2">
                  <c:v>864</c:v>
                </c:pt>
                <c:pt idx="3">
                  <c:v>807</c:v>
                </c:pt>
                <c:pt idx="4">
                  <c:v>731</c:v>
                </c:pt>
                <c:pt idx="5">
                  <c:v>739</c:v>
                </c:pt>
                <c:pt idx="6">
                  <c:v>792</c:v>
                </c:pt>
                <c:pt idx="7">
                  <c:v>902</c:v>
                </c:pt>
                <c:pt idx="8">
                  <c:v>1160</c:v>
                </c:pt>
                <c:pt idx="9">
                  <c:v>1237</c:v>
                </c:pt>
                <c:pt idx="10">
                  <c:v>1320</c:v>
                </c:pt>
                <c:pt idx="11">
                  <c:v>1228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84-433F-A00D-4598AD8B9995}"/>
            </c:ext>
          </c:extLst>
        </c:ser>
        <c:ser>
          <c:idx val="3"/>
          <c:order val="2"/>
          <c:tx>
            <c:strRef>
              <c:f>Sheet１!$W$3</c:f>
              <c:strCache>
                <c:ptCount val="1"/>
                <c:pt idx="0">
                  <c:v>2026年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val>
            <c:numRef>
              <c:f>Sheet１!$W$4:$W$15</c:f>
              <c:numCache>
                <c:formatCode>0_);[Red]\(0\)</c:formatCode>
                <c:ptCount val="12"/>
                <c:pt idx="0">
                  <c:v>1006</c:v>
                </c:pt>
                <c:pt idx="1">
                  <c:v>820</c:v>
                </c:pt>
                <c:pt idx="2">
                  <c:v>814</c:v>
                </c:pt>
                <c:pt idx="3">
                  <c:v>813</c:v>
                </c:pt>
                <c:pt idx="4">
                  <c:v>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84-433F-A00D-4598AD8B9995}"/>
            </c:ext>
          </c:extLst>
        </c:ser>
        <c:ser>
          <c:idx val="1"/>
          <c:order val="3"/>
          <c:tx>
            <c:strRef>
              <c:f>Sheet１!$X$3</c:f>
              <c:strCache>
                <c:ptCount val="1"/>
                <c:pt idx="0">
                  <c:v>平年値</c:v>
                </c:pt>
              </c:strCache>
            </c:strRef>
          </c:tx>
          <c:spPr>
            <a:ln w="28575">
              <a:solidFill>
                <a:srgbClr val="92D05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  <a:prstDash val="solid"/>
              </a:ln>
            </c:spPr>
          </c:marker>
          <c:val>
            <c:numRef>
              <c:f>Sheet１!$X$4:$X$15</c:f>
              <c:numCache>
                <c:formatCode>General</c:formatCode>
                <c:ptCount val="12"/>
                <c:pt idx="0">
                  <c:v>772.4</c:v>
                </c:pt>
                <c:pt idx="1">
                  <c:v>721.6</c:v>
                </c:pt>
                <c:pt idx="2">
                  <c:v>737.8</c:v>
                </c:pt>
                <c:pt idx="3">
                  <c:v>753.6</c:v>
                </c:pt>
                <c:pt idx="4">
                  <c:v>693.2</c:v>
                </c:pt>
                <c:pt idx="5">
                  <c:v>701</c:v>
                </c:pt>
                <c:pt idx="6">
                  <c:v>708.8</c:v>
                </c:pt>
                <c:pt idx="7">
                  <c:v>750</c:v>
                </c:pt>
                <c:pt idx="8">
                  <c:v>974.6</c:v>
                </c:pt>
                <c:pt idx="9">
                  <c:v>1090</c:v>
                </c:pt>
                <c:pt idx="10">
                  <c:v>1057.8</c:v>
                </c:pt>
                <c:pt idx="11">
                  <c:v>982.2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84-433F-A00D-4598AD8B9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620872"/>
        <c:axId val="1"/>
      </c:lineChart>
      <c:catAx>
        <c:axId val="698620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（月）</a:t>
                </a:r>
              </a:p>
            </c:rich>
          </c:tx>
          <c:layout>
            <c:manualLayout>
              <c:xMode val="edge"/>
              <c:yMode val="edge"/>
              <c:x val="0.85937492146472139"/>
              <c:y val="0.867003345227119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（円/kg）</a:t>
                </a:r>
              </a:p>
            </c:rich>
          </c:tx>
          <c:layout>
            <c:manualLayout>
              <c:xMode val="edge"/>
              <c:yMode val="edge"/>
              <c:x val="0"/>
              <c:y val="0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698620872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958338660073955"/>
          <c:y val="0.32491583774292943"/>
          <c:w val="8.3333387966570527E-2"/>
          <c:h val="0.143097543165549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aph1"/>
  <sheetViews>
    <sheetView tabSelected="1" workbookViewId="0"/>
  </sheetViews>
  <pageMargins left="0.78700000000000003" right="0.78700000000000003" top="0.98399999999999999" bottom="0.98399999999999999" header="0.51200000000000001" footer="0.51200000000000001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D35A40A-FA92-4455-A0E8-D4188E8994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X18"/>
  <sheetViews>
    <sheetView workbookViewId="0">
      <selection activeCell="W8" sqref="W8"/>
    </sheetView>
  </sheetViews>
  <sheetFormatPr defaultRowHeight="15" customHeight="1" x14ac:dyDescent="0.2"/>
  <cols>
    <col min="2" max="2" width="9.44140625" customWidth="1"/>
    <col min="3" max="11" width="9.6640625" hidden="1" customWidth="1"/>
    <col min="12" max="23" width="9.6640625" customWidth="1"/>
  </cols>
  <sheetData>
    <row r="2" spans="2:24" ht="15" customHeight="1" x14ac:dyDescent="0.2">
      <c r="B2" t="s">
        <v>16</v>
      </c>
      <c r="X2" s="2" t="s">
        <v>17</v>
      </c>
    </row>
    <row r="3" spans="2:24" ht="15" customHeight="1" x14ac:dyDescent="0.2">
      <c r="B3" s="1"/>
      <c r="C3" s="3" t="s">
        <v>12</v>
      </c>
      <c r="D3" s="3" t="s">
        <v>13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3" t="s">
        <v>31</v>
      </c>
      <c r="S3" s="3" t="s">
        <v>32</v>
      </c>
      <c r="T3" s="3" t="s">
        <v>33</v>
      </c>
      <c r="U3" s="3" t="s">
        <v>34</v>
      </c>
      <c r="V3" s="3" t="s">
        <v>35</v>
      </c>
      <c r="W3" s="3" t="s">
        <v>36</v>
      </c>
      <c r="X3" s="3" t="s">
        <v>15</v>
      </c>
    </row>
    <row r="4" spans="2:24" ht="15" customHeight="1" x14ac:dyDescent="0.2">
      <c r="B4" s="5" t="s">
        <v>0</v>
      </c>
      <c r="C4" s="5">
        <v>744</v>
      </c>
      <c r="D4" s="5">
        <v>640</v>
      </c>
      <c r="E4" s="5">
        <v>685</v>
      </c>
      <c r="F4" s="5">
        <v>693</v>
      </c>
      <c r="G4" s="5">
        <v>600</v>
      </c>
      <c r="H4" s="5">
        <v>646</v>
      </c>
      <c r="I4" s="5">
        <v>735</v>
      </c>
      <c r="J4" s="5">
        <v>718</v>
      </c>
      <c r="K4" s="5">
        <v>660</v>
      </c>
      <c r="L4" s="5">
        <v>663</v>
      </c>
      <c r="M4" s="5">
        <v>702</v>
      </c>
      <c r="N4" s="5">
        <v>777</v>
      </c>
      <c r="O4" s="5">
        <v>779</v>
      </c>
      <c r="P4" s="5">
        <v>688</v>
      </c>
      <c r="Q4" s="5">
        <v>672</v>
      </c>
      <c r="R4" s="5">
        <v>643</v>
      </c>
      <c r="S4" s="5">
        <v>745</v>
      </c>
      <c r="T4" s="5">
        <v>737</v>
      </c>
      <c r="U4" s="5">
        <v>715</v>
      </c>
      <c r="V4" s="5">
        <v>1022</v>
      </c>
      <c r="W4" s="5">
        <v>1006</v>
      </c>
      <c r="X4" s="5">
        <f>AVERAGE(R4:V4)</f>
        <v>772.4</v>
      </c>
    </row>
    <row r="5" spans="2:24" ht="15" customHeight="1" x14ac:dyDescent="0.2">
      <c r="B5" s="6" t="s">
        <v>1</v>
      </c>
      <c r="C5" s="6">
        <v>674</v>
      </c>
      <c r="D5" s="6">
        <v>572</v>
      </c>
      <c r="E5" s="6">
        <v>663</v>
      </c>
      <c r="F5" s="6">
        <v>658</v>
      </c>
      <c r="G5" s="6">
        <v>641</v>
      </c>
      <c r="H5" s="6">
        <v>602</v>
      </c>
      <c r="I5" s="6">
        <v>712</v>
      </c>
      <c r="J5" s="6">
        <v>652</v>
      </c>
      <c r="K5" s="6">
        <v>636</v>
      </c>
      <c r="L5" s="6">
        <v>696</v>
      </c>
      <c r="M5" s="6">
        <v>797</v>
      </c>
      <c r="N5" s="6">
        <v>693</v>
      </c>
      <c r="O5" s="6">
        <v>662</v>
      </c>
      <c r="P5" s="6">
        <v>656</v>
      </c>
      <c r="Q5" s="6">
        <v>709</v>
      </c>
      <c r="R5" s="6">
        <v>616</v>
      </c>
      <c r="S5" s="6">
        <v>682</v>
      </c>
      <c r="T5" s="6">
        <v>728</v>
      </c>
      <c r="U5" s="6">
        <v>701</v>
      </c>
      <c r="V5" s="6">
        <v>881</v>
      </c>
      <c r="W5" s="6">
        <v>820</v>
      </c>
      <c r="X5" s="6">
        <f t="shared" ref="X5:X16" si="0">AVERAGE(R5:V5)</f>
        <v>721.6</v>
      </c>
    </row>
    <row r="6" spans="2:24" ht="15" customHeight="1" x14ac:dyDescent="0.2">
      <c r="B6" s="6" t="s">
        <v>2</v>
      </c>
      <c r="C6" s="6">
        <v>634</v>
      </c>
      <c r="D6" s="6">
        <v>650</v>
      </c>
      <c r="E6" s="6">
        <v>654</v>
      </c>
      <c r="F6" s="6">
        <v>748</v>
      </c>
      <c r="G6" s="6">
        <v>670</v>
      </c>
      <c r="H6" s="6">
        <v>620</v>
      </c>
      <c r="I6" s="6">
        <v>832</v>
      </c>
      <c r="J6" s="6">
        <v>708</v>
      </c>
      <c r="K6" s="6">
        <v>695</v>
      </c>
      <c r="L6" s="6">
        <v>766</v>
      </c>
      <c r="M6" s="6">
        <v>785</v>
      </c>
      <c r="N6" s="6">
        <v>637</v>
      </c>
      <c r="O6" s="6">
        <v>628</v>
      </c>
      <c r="P6" s="6">
        <v>689</v>
      </c>
      <c r="Q6" s="6">
        <v>713</v>
      </c>
      <c r="R6" s="6">
        <v>613</v>
      </c>
      <c r="S6" s="6">
        <v>706</v>
      </c>
      <c r="T6" s="6">
        <v>740</v>
      </c>
      <c r="U6" s="6">
        <v>766</v>
      </c>
      <c r="V6" s="6">
        <v>864</v>
      </c>
      <c r="W6" s="6">
        <v>814</v>
      </c>
      <c r="X6" s="6">
        <f t="shared" si="0"/>
        <v>737.8</v>
      </c>
    </row>
    <row r="7" spans="2:24" ht="15" customHeight="1" x14ac:dyDescent="0.2">
      <c r="B7" s="6" t="s">
        <v>3</v>
      </c>
      <c r="C7" s="6">
        <v>649</v>
      </c>
      <c r="D7" s="6">
        <v>670</v>
      </c>
      <c r="E7" s="6">
        <v>685</v>
      </c>
      <c r="F7" s="6">
        <v>739</v>
      </c>
      <c r="G7" s="6">
        <v>772</v>
      </c>
      <c r="H7" s="6">
        <v>626</v>
      </c>
      <c r="I7" s="6">
        <v>786</v>
      </c>
      <c r="J7" s="6">
        <v>661</v>
      </c>
      <c r="K7" s="6">
        <v>673</v>
      </c>
      <c r="L7" s="6">
        <v>747</v>
      </c>
      <c r="M7" s="6">
        <v>759</v>
      </c>
      <c r="N7" s="6">
        <v>628</v>
      </c>
      <c r="O7" s="6">
        <v>616</v>
      </c>
      <c r="P7" s="6">
        <v>709</v>
      </c>
      <c r="Q7" s="6">
        <v>761</v>
      </c>
      <c r="R7" s="6">
        <v>625</v>
      </c>
      <c r="S7" s="6">
        <v>713</v>
      </c>
      <c r="T7" s="6">
        <v>766</v>
      </c>
      <c r="U7" s="6">
        <v>857</v>
      </c>
      <c r="V7" s="6">
        <v>807</v>
      </c>
      <c r="W7" s="6">
        <v>813</v>
      </c>
      <c r="X7" s="6">
        <f t="shared" si="0"/>
        <v>753.6</v>
      </c>
    </row>
    <row r="8" spans="2:24" ht="15" customHeight="1" x14ac:dyDescent="0.2">
      <c r="B8" s="6" t="s">
        <v>4</v>
      </c>
      <c r="C8" s="6">
        <v>597</v>
      </c>
      <c r="D8" s="6">
        <v>602</v>
      </c>
      <c r="E8" s="6">
        <v>622</v>
      </c>
      <c r="F8" s="6">
        <v>674</v>
      </c>
      <c r="G8" s="6">
        <v>649</v>
      </c>
      <c r="H8" s="6">
        <v>521</v>
      </c>
      <c r="I8" s="6">
        <v>695</v>
      </c>
      <c r="J8" s="6">
        <v>593</v>
      </c>
      <c r="K8" s="6">
        <v>632</v>
      </c>
      <c r="L8" s="6">
        <v>702</v>
      </c>
      <c r="M8" s="6">
        <v>639</v>
      </c>
      <c r="N8" s="6">
        <v>577</v>
      </c>
      <c r="O8" s="6">
        <v>588</v>
      </c>
      <c r="P8" s="6">
        <v>605</v>
      </c>
      <c r="Q8" s="6">
        <v>666</v>
      </c>
      <c r="R8" s="6">
        <v>593</v>
      </c>
      <c r="S8" s="6">
        <v>665</v>
      </c>
      <c r="T8" s="6">
        <v>717</v>
      </c>
      <c r="U8" s="6">
        <v>760</v>
      </c>
      <c r="V8" s="6">
        <v>731</v>
      </c>
      <c r="W8" s="6">
        <v>749</v>
      </c>
      <c r="X8" s="6">
        <f t="shared" si="0"/>
        <v>693.2</v>
      </c>
    </row>
    <row r="9" spans="2:24" ht="15" customHeight="1" x14ac:dyDescent="0.2">
      <c r="B9" s="6" t="s">
        <v>5</v>
      </c>
      <c r="C9" s="9">
        <v>467</v>
      </c>
      <c r="D9" s="6">
        <v>532</v>
      </c>
      <c r="E9" s="6">
        <v>534</v>
      </c>
      <c r="F9" s="6">
        <v>559</v>
      </c>
      <c r="G9" s="6">
        <v>554</v>
      </c>
      <c r="H9" s="6">
        <v>549</v>
      </c>
      <c r="I9" s="6">
        <v>614</v>
      </c>
      <c r="J9" s="6">
        <v>537</v>
      </c>
      <c r="K9" s="6">
        <v>544</v>
      </c>
      <c r="L9" s="6">
        <v>648</v>
      </c>
      <c r="M9" s="6">
        <v>609</v>
      </c>
      <c r="N9" s="6">
        <v>539</v>
      </c>
      <c r="O9" s="6">
        <v>546</v>
      </c>
      <c r="P9" s="6">
        <v>610</v>
      </c>
      <c r="Q9" s="6">
        <v>626</v>
      </c>
      <c r="R9" s="6">
        <v>600</v>
      </c>
      <c r="S9" s="6">
        <v>696</v>
      </c>
      <c r="T9" s="6">
        <v>683</v>
      </c>
      <c r="U9" s="6">
        <v>787</v>
      </c>
      <c r="V9" s="6">
        <v>739</v>
      </c>
      <c r="W9" s="6"/>
      <c r="X9" s="6">
        <f t="shared" si="0"/>
        <v>701</v>
      </c>
    </row>
    <row r="10" spans="2:24" ht="15" customHeight="1" x14ac:dyDescent="0.2">
      <c r="B10" s="6" t="s">
        <v>6</v>
      </c>
      <c r="C10" s="6">
        <v>544</v>
      </c>
      <c r="D10" s="6">
        <v>543</v>
      </c>
      <c r="E10" s="6">
        <v>532</v>
      </c>
      <c r="F10" s="6">
        <v>532</v>
      </c>
      <c r="G10" s="6">
        <v>550</v>
      </c>
      <c r="H10" s="6">
        <v>594</v>
      </c>
      <c r="I10" s="6">
        <v>595</v>
      </c>
      <c r="J10" s="6">
        <v>599</v>
      </c>
      <c r="K10" s="6">
        <v>571</v>
      </c>
      <c r="L10" s="6">
        <v>608</v>
      </c>
      <c r="M10" s="6">
        <v>603</v>
      </c>
      <c r="N10" s="6">
        <v>569</v>
      </c>
      <c r="O10" s="6">
        <v>608</v>
      </c>
      <c r="P10" s="6">
        <v>612</v>
      </c>
      <c r="Q10" s="6">
        <v>685</v>
      </c>
      <c r="R10" s="6">
        <v>653</v>
      </c>
      <c r="S10" s="6">
        <v>681</v>
      </c>
      <c r="T10" s="6">
        <v>705</v>
      </c>
      <c r="U10" s="6">
        <v>713</v>
      </c>
      <c r="V10" s="6">
        <v>792</v>
      </c>
      <c r="W10" s="6"/>
      <c r="X10" s="6">
        <f t="shared" si="0"/>
        <v>708.8</v>
      </c>
    </row>
    <row r="11" spans="2:24" ht="15" customHeight="1" x14ac:dyDescent="0.2">
      <c r="B11" s="6" t="s">
        <v>7</v>
      </c>
      <c r="C11" s="6">
        <v>453</v>
      </c>
      <c r="D11" s="6">
        <v>578</v>
      </c>
      <c r="E11" s="6">
        <v>496</v>
      </c>
      <c r="F11" s="6">
        <v>579</v>
      </c>
      <c r="G11" s="6">
        <v>603</v>
      </c>
      <c r="H11" s="6">
        <v>624</v>
      </c>
      <c r="I11" s="6">
        <v>531</v>
      </c>
      <c r="J11" s="6">
        <v>601</v>
      </c>
      <c r="K11" s="6">
        <v>558</v>
      </c>
      <c r="L11" s="6">
        <v>593</v>
      </c>
      <c r="M11" s="6">
        <v>567</v>
      </c>
      <c r="N11" s="6">
        <v>569</v>
      </c>
      <c r="O11" s="6">
        <v>718</v>
      </c>
      <c r="P11" s="6">
        <v>608</v>
      </c>
      <c r="Q11" s="6">
        <v>664</v>
      </c>
      <c r="R11" s="6">
        <v>640</v>
      </c>
      <c r="S11" s="6">
        <v>717</v>
      </c>
      <c r="T11" s="6">
        <v>725</v>
      </c>
      <c r="U11" s="6">
        <v>766</v>
      </c>
      <c r="V11" s="6">
        <v>902</v>
      </c>
      <c r="W11" s="6"/>
      <c r="X11" s="6">
        <f t="shared" si="0"/>
        <v>750</v>
      </c>
    </row>
    <row r="12" spans="2:24" ht="15" customHeight="1" x14ac:dyDescent="0.2">
      <c r="B12" s="6" t="s">
        <v>8</v>
      </c>
      <c r="C12" s="6">
        <v>563</v>
      </c>
      <c r="D12" s="6">
        <v>667</v>
      </c>
      <c r="E12" s="6">
        <v>593</v>
      </c>
      <c r="F12" s="6">
        <v>658</v>
      </c>
      <c r="G12" s="6">
        <v>819</v>
      </c>
      <c r="H12" s="6">
        <v>657</v>
      </c>
      <c r="I12" s="6">
        <v>599</v>
      </c>
      <c r="J12" s="6">
        <v>655</v>
      </c>
      <c r="K12" s="6">
        <v>698</v>
      </c>
      <c r="L12" s="6">
        <v>748</v>
      </c>
      <c r="M12" s="6">
        <v>621</v>
      </c>
      <c r="N12" s="6">
        <v>761</v>
      </c>
      <c r="O12" s="6">
        <v>910</v>
      </c>
      <c r="P12" s="6">
        <v>801</v>
      </c>
      <c r="Q12" s="6">
        <v>702</v>
      </c>
      <c r="R12" s="6">
        <v>824</v>
      </c>
      <c r="S12" s="6">
        <v>828</v>
      </c>
      <c r="T12" s="6">
        <v>965</v>
      </c>
      <c r="U12" s="6">
        <v>1096</v>
      </c>
      <c r="V12" s="6">
        <v>1160</v>
      </c>
      <c r="W12" s="6"/>
      <c r="X12" s="6">
        <f t="shared" si="0"/>
        <v>974.6</v>
      </c>
    </row>
    <row r="13" spans="2:24" ht="15" customHeight="1" x14ac:dyDescent="0.2">
      <c r="B13" s="6" t="s">
        <v>9</v>
      </c>
      <c r="C13" s="6">
        <v>619</v>
      </c>
      <c r="D13" s="6">
        <v>698</v>
      </c>
      <c r="E13" s="6">
        <v>667</v>
      </c>
      <c r="F13" s="6">
        <v>579</v>
      </c>
      <c r="G13" s="6">
        <v>926</v>
      </c>
      <c r="H13" s="6">
        <v>863</v>
      </c>
      <c r="I13" s="6">
        <v>732</v>
      </c>
      <c r="J13" s="6">
        <v>744</v>
      </c>
      <c r="K13" s="6">
        <v>675</v>
      </c>
      <c r="L13" s="6">
        <v>803</v>
      </c>
      <c r="M13" s="6">
        <v>800</v>
      </c>
      <c r="N13" s="6">
        <v>677</v>
      </c>
      <c r="O13" s="6">
        <v>875</v>
      </c>
      <c r="P13" s="6">
        <v>883</v>
      </c>
      <c r="Q13" s="6">
        <v>874</v>
      </c>
      <c r="R13" s="6">
        <v>798</v>
      </c>
      <c r="S13" s="6">
        <v>867</v>
      </c>
      <c r="T13" s="6">
        <v>1280</v>
      </c>
      <c r="U13" s="6">
        <v>1268</v>
      </c>
      <c r="V13" s="6">
        <v>1237</v>
      </c>
      <c r="W13" s="6"/>
      <c r="X13" s="6">
        <f t="shared" si="0"/>
        <v>1090</v>
      </c>
    </row>
    <row r="14" spans="2:24" ht="15" customHeight="1" x14ac:dyDescent="0.2">
      <c r="B14" s="6" t="s">
        <v>10</v>
      </c>
      <c r="C14" s="6">
        <v>709</v>
      </c>
      <c r="D14" s="6">
        <v>618</v>
      </c>
      <c r="E14" s="6">
        <v>655</v>
      </c>
      <c r="F14" s="6">
        <v>540</v>
      </c>
      <c r="G14" s="6">
        <v>796</v>
      </c>
      <c r="H14" s="6">
        <v>701</v>
      </c>
      <c r="I14" s="6">
        <v>794</v>
      </c>
      <c r="J14" s="6">
        <v>747</v>
      </c>
      <c r="K14" s="6">
        <v>624</v>
      </c>
      <c r="L14" s="6">
        <v>680</v>
      </c>
      <c r="M14" s="6">
        <v>950</v>
      </c>
      <c r="N14" s="6">
        <v>691</v>
      </c>
      <c r="O14" s="6">
        <v>829</v>
      </c>
      <c r="P14" s="6">
        <v>843</v>
      </c>
      <c r="Q14" s="6">
        <v>858</v>
      </c>
      <c r="R14" s="6">
        <v>817</v>
      </c>
      <c r="S14" s="6">
        <v>919</v>
      </c>
      <c r="T14" s="6">
        <v>1077</v>
      </c>
      <c r="U14" s="6">
        <v>1156</v>
      </c>
      <c r="V14" s="6">
        <v>1320</v>
      </c>
      <c r="W14" s="6"/>
      <c r="X14" s="6">
        <f t="shared" si="0"/>
        <v>1057.8</v>
      </c>
    </row>
    <row r="15" spans="2:24" ht="15" customHeight="1" x14ac:dyDescent="0.2">
      <c r="B15" s="7" t="s">
        <v>11</v>
      </c>
      <c r="C15" s="6">
        <v>726</v>
      </c>
      <c r="D15" s="7">
        <v>618</v>
      </c>
      <c r="E15" s="5">
        <v>743</v>
      </c>
      <c r="F15" s="5">
        <v>605</v>
      </c>
      <c r="G15" s="5">
        <v>643</v>
      </c>
      <c r="H15" s="5">
        <v>738</v>
      </c>
      <c r="I15" s="5">
        <v>708</v>
      </c>
      <c r="J15" s="5">
        <v>743</v>
      </c>
      <c r="K15" s="5">
        <v>629</v>
      </c>
      <c r="L15" s="5">
        <v>610</v>
      </c>
      <c r="M15" s="5">
        <v>917</v>
      </c>
      <c r="N15" s="5">
        <v>809</v>
      </c>
      <c r="O15" s="5">
        <v>716</v>
      </c>
      <c r="P15" s="10">
        <v>770</v>
      </c>
      <c r="Q15" s="10">
        <v>660</v>
      </c>
      <c r="R15" s="10">
        <v>836</v>
      </c>
      <c r="S15" s="10">
        <v>755</v>
      </c>
      <c r="T15" s="10">
        <v>829</v>
      </c>
      <c r="U15" s="10">
        <v>1263</v>
      </c>
      <c r="V15" s="10">
        <v>1228</v>
      </c>
      <c r="W15" s="10"/>
      <c r="X15" s="5">
        <f t="shared" si="0"/>
        <v>982.2</v>
      </c>
    </row>
    <row r="16" spans="2:24" ht="15" customHeight="1" x14ac:dyDescent="0.2">
      <c r="B16" s="8" t="s">
        <v>14</v>
      </c>
      <c r="C16" s="8">
        <f>AVERAGE(C4:C15)</f>
        <v>614.91666666666663</v>
      </c>
      <c r="D16" s="8">
        <f>AVERAGE(D4:D15)</f>
        <v>615.66666666666663</v>
      </c>
      <c r="E16" s="8">
        <f>AVERAGE(E4:E15)</f>
        <v>627.41666666666663</v>
      </c>
      <c r="F16" s="8">
        <f t="shared" ref="F16:K16" si="1">AVERAGE(F4:F15)</f>
        <v>630.33333333333337</v>
      </c>
      <c r="G16" s="8">
        <f t="shared" si="1"/>
        <v>685.25</v>
      </c>
      <c r="H16" s="8">
        <f t="shared" si="1"/>
        <v>645.08333333333337</v>
      </c>
      <c r="I16" s="8">
        <f t="shared" si="1"/>
        <v>694.41666666666663</v>
      </c>
      <c r="J16" s="8">
        <f t="shared" si="1"/>
        <v>663.16666666666663</v>
      </c>
      <c r="K16" s="8">
        <f t="shared" si="1"/>
        <v>632.91666666666663</v>
      </c>
      <c r="L16" s="8">
        <f t="shared" ref="L16:S16" si="2">AVERAGE(L4:L15)</f>
        <v>688.66666666666663</v>
      </c>
      <c r="M16" s="8">
        <f t="shared" si="2"/>
        <v>729.08333333333337</v>
      </c>
      <c r="N16" s="8">
        <f t="shared" si="2"/>
        <v>660.58333333333337</v>
      </c>
      <c r="O16" s="8">
        <f t="shared" si="2"/>
        <v>706.25</v>
      </c>
      <c r="P16" s="8">
        <f t="shared" si="2"/>
        <v>706.16666666666663</v>
      </c>
      <c r="Q16" s="8">
        <f t="shared" si="2"/>
        <v>715.83333333333337</v>
      </c>
      <c r="R16" s="8">
        <f t="shared" si="2"/>
        <v>688.16666666666663</v>
      </c>
      <c r="S16" s="8">
        <f t="shared" si="2"/>
        <v>747.83333333333337</v>
      </c>
      <c r="T16" s="8">
        <f>IFERROR(AVERAGE(T4:T15),"")</f>
        <v>829.33333333333337</v>
      </c>
      <c r="U16" s="8">
        <f>IFERROR(AVERAGE(U4:U15),"")</f>
        <v>904</v>
      </c>
      <c r="V16" s="8">
        <f>IFERROR(AVERAGE(V4:V15),"")</f>
        <v>973.58333333333337</v>
      </c>
      <c r="W16" s="8">
        <f>IFERROR(AVERAGE(W4:W15),"")</f>
        <v>840.4</v>
      </c>
      <c r="X16" s="8">
        <f t="shared" si="0"/>
        <v>828.58333333333337</v>
      </c>
    </row>
    <row r="18" spans="2:2" ht="15" customHeight="1" x14ac:dyDescent="0.2">
      <c r="B18" s="4" t="s">
        <v>37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Sheet１</vt:lpstr>
      <vt:lpstr>Graph</vt:lpstr>
    </vt:vector>
  </TitlesOfParts>
  <Company>alic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ベジ探</cp:lastModifiedBy>
  <cp:lastPrinted>2007-04-18T06:55:35Z</cp:lastPrinted>
  <dcterms:created xsi:type="dcterms:W3CDTF">2007-03-20T10:21:47Z</dcterms:created>
  <dcterms:modified xsi:type="dcterms:W3CDTF">2026-06-26T00:35:28Z</dcterms:modified>
</cp:coreProperties>
</file>