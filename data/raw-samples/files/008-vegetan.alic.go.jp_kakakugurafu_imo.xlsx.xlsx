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codeName="ThisWorkbook"/>
  <xr:revisionPtr revIDLastSave="0" documentId="13_ncr:1_{2907A577-B5EA-4CE0-92F8-DB7535D2AAEB}" xr6:coauthVersionLast="47" xr6:coauthVersionMax="47" xr10:uidLastSave="{00000000-0000-0000-0000-000000000000}"/>
  <bookViews>
    <workbookView xWindow="28680" yWindow="-3555" windowWidth="29040" windowHeight="15720" tabRatio="523" activeTab="1" xr2:uid="{00000000-000D-0000-FFFF-FFFF00000000}"/>
  </bookViews>
  <sheets>
    <sheet name="さといも" sheetId="1" r:id="rId1"/>
    <sheet name="ばれいしょ" sheetId="4" r:id="rId2"/>
    <sheet name="集計表" sheetId="14" state="hidden" r:id="rId3"/>
  </sheets>
  <definedNames>
    <definedName name="a">さといも!$G$161</definedName>
    <definedName name="_xlnm.Print_Area" localSheetId="0">さといも!$A$1:$AS$160</definedName>
    <definedName name="_xlnm.Print_Area" localSheetId="1">ばれいしょ!$A$1:$AS$160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58" i="4" l="1"/>
  <c r="AR157" i="4"/>
  <c r="AR159" i="4" s="1"/>
  <c r="AR156" i="4"/>
  <c r="AR155" i="4"/>
  <c r="AR118" i="4"/>
  <c r="AR117" i="4"/>
  <c r="AR119" i="4" s="1"/>
  <c r="AR116" i="4"/>
  <c r="AR115" i="4"/>
  <c r="AR78" i="4"/>
  <c r="AR77" i="4"/>
  <c r="AR79" i="4" s="1"/>
  <c r="AR76" i="4"/>
  <c r="AR75" i="4"/>
  <c r="AR38" i="4"/>
  <c r="AR37" i="4"/>
  <c r="AR39" i="4" s="1"/>
  <c r="AR36" i="4"/>
  <c r="AR35" i="4"/>
  <c r="AR158" i="1"/>
  <c r="AR157" i="1"/>
  <c r="AR159" i="1" s="1"/>
  <c r="AR156" i="1"/>
  <c r="AR155" i="1"/>
  <c r="AR118" i="1"/>
  <c r="AR117" i="1"/>
  <c r="AR119" i="1" s="1"/>
  <c r="AR116" i="1"/>
  <c r="AR115" i="1"/>
  <c r="AR78" i="1"/>
  <c r="AR77" i="1"/>
  <c r="AR76" i="1"/>
  <c r="AR75" i="1"/>
  <c r="AR38" i="1"/>
  <c r="AR37" i="1"/>
  <c r="AR39" i="1" s="1"/>
  <c r="AR36" i="1"/>
  <c r="AR35" i="1"/>
  <c r="AP155" i="1"/>
  <c r="AQ155" i="1"/>
  <c r="AP156" i="1"/>
  <c r="AQ156" i="1"/>
  <c r="AP157" i="1"/>
  <c r="AQ157" i="1"/>
  <c r="AP158" i="1"/>
  <c r="AQ158" i="1"/>
  <c r="AP115" i="1"/>
  <c r="AQ115" i="1"/>
  <c r="AP116" i="1"/>
  <c r="AQ116" i="1"/>
  <c r="AP117" i="1"/>
  <c r="AQ117" i="1"/>
  <c r="AP118" i="1"/>
  <c r="AQ118" i="1"/>
  <c r="AP75" i="1"/>
  <c r="AQ75" i="1"/>
  <c r="AP76" i="1"/>
  <c r="AQ76" i="1"/>
  <c r="AP77" i="1"/>
  <c r="AQ77" i="1"/>
  <c r="AP78" i="1"/>
  <c r="AQ78" i="1"/>
  <c r="AP35" i="1"/>
  <c r="AQ35" i="1"/>
  <c r="AP36" i="1"/>
  <c r="AQ36" i="1"/>
  <c r="AP37" i="1"/>
  <c r="AQ37" i="1"/>
  <c r="AP38" i="1"/>
  <c r="AQ38" i="1"/>
  <c r="AP155" i="4"/>
  <c r="AQ155" i="4"/>
  <c r="AP156" i="4"/>
  <c r="AQ156" i="4"/>
  <c r="AP157" i="4"/>
  <c r="AQ157" i="4"/>
  <c r="AP158" i="4"/>
  <c r="AQ158" i="4"/>
  <c r="AP115" i="4"/>
  <c r="AQ115" i="4"/>
  <c r="AP116" i="4"/>
  <c r="AQ116" i="4"/>
  <c r="AP117" i="4"/>
  <c r="AQ117" i="4"/>
  <c r="AP118" i="4"/>
  <c r="AQ118" i="4"/>
  <c r="AP75" i="4"/>
  <c r="AQ75" i="4"/>
  <c r="AP76" i="4"/>
  <c r="AQ76" i="4"/>
  <c r="AP77" i="4"/>
  <c r="AQ77" i="4"/>
  <c r="AP78" i="4"/>
  <c r="AQ78" i="4"/>
  <c r="AP35" i="4"/>
  <c r="AQ35" i="4"/>
  <c r="AP36" i="4"/>
  <c r="AQ36" i="4"/>
  <c r="AP37" i="4"/>
  <c r="AQ37" i="4"/>
  <c r="AP38" i="4"/>
  <c r="AQ38" i="4"/>
  <c r="AO158" i="4"/>
  <c r="AN158" i="4"/>
  <c r="AO157" i="4"/>
  <c r="AO159" i="4" s="1"/>
  <c r="AN157" i="4"/>
  <c r="AO156" i="4"/>
  <c r="AN156" i="4"/>
  <c r="AO155" i="4"/>
  <c r="AN155" i="4"/>
  <c r="AO118" i="4"/>
  <c r="AN118" i="4"/>
  <c r="AO117" i="4"/>
  <c r="AN117" i="4"/>
  <c r="AO116" i="4"/>
  <c r="AN116" i="4"/>
  <c r="AO115" i="4"/>
  <c r="AN115" i="4"/>
  <c r="AO78" i="4"/>
  <c r="AN78" i="4"/>
  <c r="AO77" i="4"/>
  <c r="AN77" i="4"/>
  <c r="AO76" i="4"/>
  <c r="AN76" i="4"/>
  <c r="AO75" i="4"/>
  <c r="AN75" i="4"/>
  <c r="AO38" i="4"/>
  <c r="AN38" i="4"/>
  <c r="AO37" i="4"/>
  <c r="AO39" i="4" s="1"/>
  <c r="AN37" i="4"/>
  <c r="AN39" i="4" s="1"/>
  <c r="AO36" i="4"/>
  <c r="AN36" i="4"/>
  <c r="AO35" i="4"/>
  <c r="AN35" i="4"/>
  <c r="AO158" i="1"/>
  <c r="AN158" i="1"/>
  <c r="AO157" i="1"/>
  <c r="AN157" i="1"/>
  <c r="AO156" i="1"/>
  <c r="AN156" i="1"/>
  <c r="AO155" i="1"/>
  <c r="AN155" i="1"/>
  <c r="AO118" i="1"/>
  <c r="AN118" i="1"/>
  <c r="AO117" i="1"/>
  <c r="AN117" i="1"/>
  <c r="AO116" i="1"/>
  <c r="AN116" i="1"/>
  <c r="AO115" i="1"/>
  <c r="AN115" i="1"/>
  <c r="AO78" i="1"/>
  <c r="AN78" i="1"/>
  <c r="AO77" i="1"/>
  <c r="AO79" i="1" s="1"/>
  <c r="AN77" i="1"/>
  <c r="AN79" i="1" s="1"/>
  <c r="AO76" i="1"/>
  <c r="AN76" i="1"/>
  <c r="AO75" i="1"/>
  <c r="AN75" i="1"/>
  <c r="AO38" i="1"/>
  <c r="AN38" i="1"/>
  <c r="AO37" i="1"/>
  <c r="AN37" i="1"/>
  <c r="AO36" i="1"/>
  <c r="AN36" i="1"/>
  <c r="AO35" i="1"/>
  <c r="AN35" i="1"/>
  <c r="C45" i="14"/>
  <c r="C39" i="14"/>
  <c r="C33" i="14"/>
  <c r="C27" i="14"/>
  <c r="C19" i="14"/>
  <c r="C13" i="14"/>
  <c r="C7" i="14"/>
  <c r="AQ159" i="4" l="1"/>
  <c r="AQ119" i="1"/>
  <c r="AR79" i="1"/>
  <c r="AQ79" i="1"/>
  <c r="AQ119" i="4"/>
  <c r="AP119" i="1"/>
  <c r="AP119" i="4"/>
  <c r="AO119" i="4"/>
  <c r="AO159" i="1"/>
  <c r="AP79" i="1"/>
  <c r="AN79" i="4"/>
  <c r="AQ79" i="4"/>
  <c r="AQ39" i="4"/>
  <c r="AP79" i="4"/>
  <c r="AO119" i="1"/>
  <c r="AQ39" i="1"/>
  <c r="AN39" i="1"/>
  <c r="AN119" i="4"/>
  <c r="AP39" i="4"/>
  <c r="AQ159" i="1"/>
  <c r="AP159" i="4"/>
  <c r="AP39" i="1"/>
  <c r="AP159" i="1"/>
  <c r="AO79" i="4"/>
  <c r="AN119" i="1"/>
  <c r="AO39" i="1"/>
  <c r="AN159" i="4"/>
  <c r="AN159" i="1"/>
  <c r="A155" i="4"/>
  <c r="A115" i="4"/>
  <c r="A75" i="4"/>
  <c r="A35" i="4"/>
  <c r="A155" i="1"/>
  <c r="A115" i="1"/>
  <c r="A75" i="1"/>
  <c r="L121" i="4"/>
  <c r="L81" i="4"/>
  <c r="L41" i="4"/>
  <c r="L1" i="4"/>
  <c r="K121" i="1"/>
  <c r="K81" i="1"/>
  <c r="K41" i="1"/>
  <c r="K1" i="1"/>
  <c r="A35" i="1"/>
  <c r="G36" i="1"/>
  <c r="Q36" i="1"/>
  <c r="N36" i="1"/>
  <c r="H36" i="1"/>
  <c r="O35" i="4"/>
  <c r="F35" i="4"/>
  <c r="R156" i="1"/>
  <c r="J156" i="1"/>
  <c r="B36" i="1"/>
  <c r="V116" i="1"/>
  <c r="F116" i="1"/>
  <c r="J76" i="1"/>
  <c r="I156" i="4"/>
  <c r="U36" i="1"/>
  <c r="M36" i="1"/>
  <c r="E116" i="4"/>
  <c r="K36" i="4"/>
  <c r="C36" i="4"/>
  <c r="I157" i="4"/>
  <c r="Q157" i="4"/>
  <c r="G117" i="4"/>
  <c r="O117" i="4"/>
  <c r="E77" i="4"/>
  <c r="M77" i="4"/>
  <c r="U77" i="4"/>
  <c r="C37" i="4"/>
  <c r="K37" i="4"/>
  <c r="S37" i="4"/>
  <c r="I157" i="1"/>
  <c r="S36" i="1"/>
  <c r="C36" i="1"/>
  <c r="J36" i="1"/>
  <c r="T36" i="1"/>
  <c r="D36" i="1"/>
  <c r="L36" i="1"/>
  <c r="V156" i="1"/>
  <c r="F36" i="1"/>
  <c r="R36" i="1"/>
  <c r="J116" i="1"/>
  <c r="V76" i="1"/>
  <c r="F76" i="1"/>
  <c r="U156" i="4"/>
  <c r="M156" i="4"/>
  <c r="E36" i="1"/>
  <c r="I116" i="4"/>
  <c r="M76" i="4"/>
  <c r="E76" i="4"/>
  <c r="Q36" i="4"/>
  <c r="G36" i="4"/>
  <c r="K36" i="1"/>
  <c r="I36" i="1"/>
  <c r="O36" i="1"/>
  <c r="V36" i="1"/>
  <c r="S35" i="4"/>
  <c r="B156" i="1"/>
  <c r="N116" i="1"/>
  <c r="R76" i="1"/>
  <c r="M116" i="4"/>
  <c r="Q76" i="4"/>
  <c r="E157" i="4"/>
  <c r="U157" i="4"/>
  <c r="C117" i="4"/>
  <c r="S117" i="4"/>
  <c r="Q77" i="4"/>
  <c r="O37" i="4"/>
  <c r="M157" i="1"/>
  <c r="U157" i="1"/>
  <c r="C117" i="1"/>
  <c r="K117" i="1"/>
  <c r="S117" i="1"/>
  <c r="I77" i="1"/>
  <c r="Q77" i="1"/>
  <c r="G37" i="1"/>
  <c r="O37" i="1"/>
  <c r="D158" i="4"/>
  <c r="M156" i="1"/>
  <c r="Q116" i="1"/>
  <c r="G116" i="1"/>
  <c r="U76" i="1"/>
  <c r="K76" i="1"/>
  <c r="L36" i="4"/>
  <c r="N156" i="1"/>
  <c r="B116" i="1"/>
  <c r="N76" i="1"/>
  <c r="P36" i="4"/>
  <c r="L35" i="4"/>
  <c r="I35" i="4"/>
  <c r="S156" i="1"/>
  <c r="P36" i="1"/>
  <c r="J35" i="4"/>
  <c r="B76" i="1"/>
  <c r="Q156" i="4"/>
  <c r="U116" i="4"/>
  <c r="I76" i="4"/>
  <c r="U36" i="4"/>
  <c r="M157" i="4"/>
  <c r="K117" i="4"/>
  <c r="I77" i="4"/>
  <c r="G37" i="4"/>
  <c r="E157" i="1"/>
  <c r="Q157" i="1"/>
  <c r="G117" i="1"/>
  <c r="O117" i="1"/>
  <c r="E77" i="1"/>
  <c r="M77" i="1"/>
  <c r="U77" i="1"/>
  <c r="C37" i="1"/>
  <c r="K37" i="1"/>
  <c r="S37" i="1"/>
  <c r="H158" i="4"/>
  <c r="C156" i="1"/>
  <c r="F156" i="1"/>
  <c r="E156" i="4"/>
  <c r="G156" i="4"/>
  <c r="V116" i="4"/>
  <c r="O76" i="4"/>
  <c r="F36" i="4"/>
  <c r="C157" i="4"/>
  <c r="N157" i="4"/>
  <c r="L117" i="4"/>
  <c r="V117" i="4"/>
  <c r="J77" i="4"/>
  <c r="T77" i="4"/>
  <c r="H37" i="4"/>
  <c r="R37" i="4"/>
  <c r="F157" i="1"/>
  <c r="P157" i="1"/>
  <c r="D117" i="1"/>
  <c r="N117" i="1"/>
  <c r="B117" i="1"/>
  <c r="L77" i="1"/>
  <c r="J37" i="1"/>
  <c r="U37" i="1"/>
  <c r="L158" i="4"/>
  <c r="T158" i="4"/>
  <c r="B158" i="4"/>
  <c r="J118" i="4"/>
  <c r="R118" i="4"/>
  <c r="H78" i="4"/>
  <c r="P78" i="4"/>
  <c r="F38" i="4"/>
  <c r="N38" i="4"/>
  <c r="V38" i="4"/>
  <c r="D158" i="1"/>
  <c r="L158" i="1"/>
  <c r="T158" i="1"/>
  <c r="B158" i="1"/>
  <c r="J118" i="1"/>
  <c r="R118" i="1"/>
  <c r="H78" i="1"/>
  <c r="P78" i="1"/>
  <c r="U76" i="4"/>
  <c r="P35" i="4"/>
  <c r="P76" i="1"/>
  <c r="L156" i="4"/>
  <c r="F116" i="4"/>
  <c r="T76" i="4"/>
  <c r="M36" i="4"/>
  <c r="R116" i="1"/>
  <c r="Q116" i="4"/>
  <c r="C35" i="4"/>
  <c r="H156" i="1"/>
  <c r="L116" i="1"/>
  <c r="E76" i="1"/>
  <c r="R156" i="4"/>
  <c r="K116" i="4"/>
  <c r="D76" i="4"/>
  <c r="S36" i="4"/>
  <c r="H157" i="4"/>
  <c r="S157" i="4"/>
  <c r="F117" i="4"/>
  <c r="Q117" i="4"/>
  <c r="D77" i="4"/>
  <c r="O77" i="4"/>
  <c r="B77" i="4"/>
  <c r="M37" i="4"/>
  <c r="K157" i="1"/>
  <c r="V157" i="1"/>
  <c r="I117" i="1"/>
  <c r="T117" i="1"/>
  <c r="G77" i="1"/>
  <c r="R77" i="1"/>
  <c r="E37" i="1"/>
  <c r="P37" i="1"/>
  <c r="G158" i="4"/>
  <c r="P158" i="4"/>
  <c r="F118" i="4"/>
  <c r="N118" i="4"/>
  <c r="V118" i="4"/>
  <c r="D78" i="4"/>
  <c r="L78" i="4"/>
  <c r="T78" i="4"/>
  <c r="B78" i="4"/>
  <c r="J38" i="4"/>
  <c r="R38" i="4"/>
  <c r="H158" i="1"/>
  <c r="P158" i="1"/>
  <c r="F118" i="1"/>
  <c r="N118" i="1"/>
  <c r="V118" i="1"/>
  <c r="D78" i="1"/>
  <c r="L78" i="1"/>
  <c r="T78" i="1"/>
  <c r="B78" i="1"/>
  <c r="B156" i="4"/>
  <c r="Q35" i="4"/>
  <c r="I116" i="1"/>
  <c r="C76" i="1"/>
  <c r="J156" i="4"/>
  <c r="R116" i="4"/>
  <c r="K76" i="4"/>
  <c r="R36" i="4"/>
  <c r="B36" i="4"/>
  <c r="K157" i="4"/>
  <c r="E117" i="4"/>
  <c r="T117" i="4"/>
  <c r="N77" i="4"/>
  <c r="I37" i="4"/>
  <c r="V37" i="4"/>
  <c r="C157" i="1"/>
  <c r="R157" i="1"/>
  <c r="L117" i="1"/>
  <c r="F77" i="1"/>
  <c r="T77" i="1"/>
  <c r="N37" i="1"/>
  <c r="F158" i="4"/>
  <c r="R158" i="4"/>
  <c r="E118" i="4"/>
  <c r="P118" i="4"/>
  <c r="C78" i="4"/>
  <c r="N78" i="4"/>
  <c r="L38" i="4"/>
  <c r="J158" i="1"/>
  <c r="U158" i="1"/>
  <c r="H118" i="1"/>
  <c r="S118" i="1"/>
  <c r="F78" i="1"/>
  <c r="Q78" i="1"/>
  <c r="D38" i="1"/>
  <c r="O38" i="1"/>
  <c r="B38" i="1"/>
  <c r="J155" i="4"/>
  <c r="M155" i="1"/>
  <c r="O115" i="1"/>
  <c r="Q75" i="1"/>
  <c r="S35" i="1"/>
  <c r="T115" i="4"/>
  <c r="D75" i="1"/>
  <c r="I115" i="4"/>
  <c r="L75" i="4"/>
  <c r="C75" i="4"/>
  <c r="E155" i="1"/>
  <c r="H115" i="1"/>
  <c r="I75" i="1"/>
  <c r="L35" i="1"/>
  <c r="G156" i="1"/>
  <c r="J76" i="4"/>
  <c r="F38" i="1"/>
  <c r="N38" i="1"/>
  <c r="V38" i="1"/>
  <c r="R155" i="4"/>
  <c r="D155" i="4"/>
  <c r="L155" i="4"/>
  <c r="L155" i="1"/>
  <c r="T155" i="1"/>
  <c r="T115" i="1"/>
  <c r="P75" i="1"/>
  <c r="U35" i="1"/>
  <c r="Q115" i="4"/>
  <c r="S75" i="4"/>
  <c r="I156" i="1"/>
  <c r="P116" i="1"/>
  <c r="C116" i="1"/>
  <c r="P156" i="4"/>
  <c r="R76" i="4"/>
  <c r="H35" i="4"/>
  <c r="P156" i="1"/>
  <c r="Q76" i="1"/>
  <c r="C116" i="4"/>
  <c r="D157" i="4"/>
  <c r="R157" i="4"/>
  <c r="M117" i="4"/>
  <c r="G77" i="4"/>
  <c r="V77" i="4"/>
  <c r="P37" i="4"/>
  <c r="J157" i="1"/>
  <c r="E117" i="1"/>
  <c r="R117" i="1"/>
  <c r="N77" i="1"/>
  <c r="H37" i="1"/>
  <c r="V37" i="1"/>
  <c r="B37" i="1"/>
  <c r="M158" i="4"/>
  <c r="K118" i="4"/>
  <c r="U118" i="4"/>
  <c r="I78" i="4"/>
  <c r="S78" i="4"/>
  <c r="G38" i="4"/>
  <c r="Q38" i="4"/>
  <c r="E158" i="1"/>
  <c r="O158" i="1"/>
  <c r="C118" i="1"/>
  <c r="M118" i="1"/>
  <c r="K78" i="1"/>
  <c r="V78" i="1"/>
  <c r="I38" i="1"/>
  <c r="T38" i="1"/>
  <c r="E155" i="4"/>
  <c r="O155" i="4"/>
  <c r="R155" i="1"/>
  <c r="U115" i="1"/>
  <c r="N35" i="1"/>
  <c r="O115" i="4"/>
  <c r="Q75" i="4"/>
  <c r="E115" i="4"/>
  <c r="M115" i="4"/>
  <c r="D115" i="4"/>
  <c r="H75" i="4"/>
  <c r="I155" i="1"/>
  <c r="L115" i="1"/>
  <c r="C115" i="1"/>
  <c r="E75" i="1"/>
  <c r="H35" i="1"/>
  <c r="U156" i="1"/>
  <c r="P115" i="1"/>
  <c r="U115" i="4"/>
  <c r="O156" i="1"/>
  <c r="O116" i="1"/>
  <c r="H76" i="1"/>
  <c r="O156" i="4"/>
  <c r="B76" i="4"/>
  <c r="H36" i="4"/>
  <c r="F157" i="4"/>
  <c r="T157" i="4"/>
  <c r="N117" i="4"/>
  <c r="H77" i="4"/>
  <c r="D37" i="4"/>
  <c r="Q37" i="4"/>
  <c r="L157" i="1"/>
  <c r="F117" i="1"/>
  <c r="U117" i="1"/>
  <c r="O77" i="1"/>
  <c r="I37" i="1"/>
  <c r="I158" i="4"/>
  <c r="S158" i="4"/>
  <c r="G118" i="4"/>
  <c r="Q118" i="4"/>
  <c r="E78" i="4"/>
  <c r="O78" i="4"/>
  <c r="C38" i="4"/>
  <c r="M38" i="4"/>
  <c r="K158" i="1"/>
  <c r="V158" i="1"/>
  <c r="I118" i="1"/>
  <c r="T118" i="1"/>
  <c r="G78" i="1"/>
  <c r="R78" i="1"/>
  <c r="E38" i="1"/>
  <c r="P38" i="1"/>
  <c r="Q155" i="4"/>
  <c r="K155" i="4"/>
  <c r="N155" i="1"/>
  <c r="Q115" i="1"/>
  <c r="R75" i="1"/>
  <c r="T35" i="1"/>
  <c r="D35" i="1"/>
  <c r="H115" i="4"/>
  <c r="K75" i="4"/>
  <c r="B75" i="4"/>
  <c r="C155" i="1"/>
  <c r="G115" i="1"/>
  <c r="H75" i="1"/>
  <c r="K35" i="1"/>
  <c r="B35" i="1"/>
  <c r="V75" i="1"/>
  <c r="D35" i="4"/>
  <c r="E35" i="4"/>
  <c r="L156" i="1"/>
  <c r="H155" i="4"/>
  <c r="Q35" i="1"/>
  <c r="I36" i="4"/>
  <c r="N35" i="4"/>
  <c r="O76" i="1"/>
  <c r="V156" i="4"/>
  <c r="B116" i="4"/>
  <c r="H76" i="4"/>
  <c r="O36" i="4"/>
  <c r="J38" i="1"/>
  <c r="P155" i="4"/>
  <c r="J116" i="4"/>
  <c r="C76" i="4"/>
  <c r="G35" i="4"/>
  <c r="U116" i="1"/>
  <c r="H116" i="4"/>
  <c r="P76" i="4"/>
  <c r="L157" i="4"/>
  <c r="H117" i="4"/>
  <c r="U117" i="4"/>
  <c r="B117" i="4"/>
  <c r="P77" i="4"/>
  <c r="J37" i="4"/>
  <c r="D157" i="1"/>
  <c r="S157" i="1"/>
  <c r="M117" i="1"/>
  <c r="H77" i="1"/>
  <c r="V77" i="1"/>
  <c r="B77" i="1"/>
  <c r="Q37" i="1"/>
  <c r="N158" i="4"/>
  <c r="L118" i="4"/>
  <c r="J78" i="4"/>
  <c r="U78" i="4"/>
  <c r="H38" i="4"/>
  <c r="S38" i="4"/>
  <c r="F158" i="1"/>
  <c r="Q158" i="1"/>
  <c r="D118" i="1"/>
  <c r="O118" i="1"/>
  <c r="B118" i="1"/>
  <c r="M78" i="1"/>
  <c r="K38" i="1"/>
  <c r="U38" i="1"/>
  <c r="F155" i="4"/>
  <c r="S155" i="4"/>
  <c r="S155" i="1"/>
  <c r="M75" i="1"/>
  <c r="O35" i="1"/>
  <c r="P115" i="4"/>
  <c r="R75" i="4"/>
  <c r="D75" i="4"/>
  <c r="L115" i="4"/>
  <c r="C115" i="4"/>
  <c r="G75" i="4"/>
  <c r="H155" i="1"/>
  <c r="K115" i="1"/>
  <c r="L75" i="1"/>
  <c r="C75" i="1"/>
  <c r="G35" i="1"/>
  <c r="V115" i="4"/>
  <c r="M35" i="4"/>
  <c r="O75" i="4"/>
  <c r="H116" i="1"/>
  <c r="E116" i="1"/>
  <c r="M76" i="1"/>
  <c r="T156" i="4"/>
  <c r="G76" i="4"/>
  <c r="N36" i="4"/>
  <c r="L76" i="4"/>
  <c r="B37" i="4"/>
  <c r="F37" i="1"/>
  <c r="D118" i="4"/>
  <c r="M78" i="4"/>
  <c r="U38" i="4"/>
  <c r="E78" i="1"/>
  <c r="M38" i="1"/>
  <c r="U75" i="4"/>
  <c r="M75" i="4"/>
  <c r="J75" i="1"/>
  <c r="S156" i="4"/>
  <c r="N37" i="4"/>
  <c r="H118" i="4"/>
  <c r="Q78" i="4"/>
  <c r="I78" i="1"/>
  <c r="Q38" i="1"/>
  <c r="J75" i="4"/>
  <c r="G75" i="1"/>
  <c r="S76" i="1"/>
  <c r="S76" i="4"/>
  <c r="P116" i="4"/>
  <c r="P155" i="1"/>
  <c r="I76" i="1"/>
  <c r="T156" i="1"/>
  <c r="E156" i="1"/>
  <c r="M116" i="1"/>
  <c r="T76" i="1"/>
  <c r="G116" i="4"/>
  <c r="N76" i="4"/>
  <c r="V36" i="4"/>
  <c r="O157" i="4"/>
  <c r="I117" i="4"/>
  <c r="C77" i="4"/>
  <c r="R77" i="4"/>
  <c r="L37" i="4"/>
  <c r="G157" i="1"/>
  <c r="T157" i="1"/>
  <c r="P117" i="1"/>
  <c r="J77" i="1"/>
  <c r="L37" i="1"/>
  <c r="C158" i="4"/>
  <c r="O158" i="4"/>
  <c r="S116" i="1"/>
  <c r="D117" i="4"/>
  <c r="O157" i="1"/>
  <c r="D77" i="1"/>
  <c r="T37" i="1"/>
  <c r="V158" i="4"/>
  <c r="I118" i="4"/>
  <c r="R78" i="4"/>
  <c r="E38" i="4"/>
  <c r="N158" i="1"/>
  <c r="J78" i="1"/>
  <c r="S38" i="1"/>
  <c r="C155" i="4"/>
  <c r="Q155" i="1"/>
  <c r="N115" i="4"/>
  <c r="B155" i="4"/>
  <c r="I75" i="4"/>
  <c r="M115" i="1"/>
  <c r="F75" i="1"/>
  <c r="V35" i="1"/>
  <c r="T75" i="1"/>
  <c r="C156" i="4"/>
  <c r="O116" i="4"/>
  <c r="T116" i="1"/>
  <c r="F156" i="4"/>
  <c r="N116" i="4"/>
  <c r="V76" i="4"/>
  <c r="K156" i="1"/>
  <c r="S116" i="4"/>
  <c r="D116" i="1"/>
  <c r="L77" i="4"/>
  <c r="Q158" i="4"/>
  <c r="I158" i="1"/>
  <c r="Q118" i="1"/>
  <c r="U155" i="4"/>
  <c r="E115" i="1"/>
  <c r="F155" i="1"/>
  <c r="E35" i="1"/>
  <c r="V115" i="1"/>
  <c r="J36" i="4"/>
  <c r="B157" i="1"/>
  <c r="U158" i="4"/>
  <c r="D38" i="4"/>
  <c r="M158" i="1"/>
  <c r="U118" i="1"/>
  <c r="O155" i="1"/>
  <c r="B115" i="1"/>
  <c r="B155" i="1"/>
  <c r="C35" i="1"/>
  <c r="V155" i="4"/>
  <c r="D156" i="1"/>
  <c r="D156" i="4"/>
  <c r="T116" i="4"/>
  <c r="P117" i="4"/>
  <c r="E37" i="4"/>
  <c r="P77" i="1"/>
  <c r="J158" i="4"/>
  <c r="U37" i="4"/>
  <c r="P38" i="4"/>
  <c r="F115" i="4"/>
  <c r="D76" i="1"/>
  <c r="L116" i="4"/>
  <c r="F77" i="4"/>
  <c r="Q117" i="1"/>
  <c r="K158" i="4"/>
  <c r="G158" i="1"/>
  <c r="P118" i="1"/>
  <c r="C78" i="1"/>
  <c r="L38" i="1"/>
  <c r="G155" i="4"/>
  <c r="P35" i="1"/>
  <c r="R115" i="4"/>
  <c r="K115" i="4"/>
  <c r="F75" i="4"/>
  <c r="J115" i="1"/>
  <c r="B75" i="1"/>
  <c r="S118" i="4"/>
  <c r="S78" i="1"/>
  <c r="M155" i="4"/>
  <c r="R115" i="1"/>
  <c r="S75" i="1"/>
  <c r="N75" i="4"/>
  <c r="T35" i="4"/>
  <c r="G115" i="4"/>
  <c r="K155" i="1"/>
  <c r="F115" i="1"/>
  <c r="J35" i="1"/>
  <c r="M35" i="1"/>
  <c r="Q156" i="1"/>
  <c r="U35" i="4"/>
  <c r="M118" i="4"/>
  <c r="E118" i="1"/>
  <c r="S77" i="1"/>
  <c r="O78" i="1"/>
  <c r="I115" i="1"/>
  <c r="R38" i="1"/>
  <c r="N156" i="4"/>
  <c r="E36" i="4"/>
  <c r="G157" i="4"/>
  <c r="T37" i="4"/>
  <c r="H117" i="1"/>
  <c r="D36" i="4"/>
  <c r="J117" i="1"/>
  <c r="T118" i="4"/>
  <c r="C158" i="1"/>
  <c r="U78" i="1"/>
  <c r="N155" i="4"/>
  <c r="J155" i="1"/>
  <c r="V155" i="1"/>
  <c r="K35" i="4"/>
  <c r="K77" i="1"/>
  <c r="I38" i="4"/>
  <c r="R158" i="1"/>
  <c r="T36" i="4"/>
  <c r="F37" i="4"/>
  <c r="B118" i="4"/>
  <c r="K38" i="4"/>
  <c r="S158" i="1"/>
  <c r="I155" i="4"/>
  <c r="O75" i="1"/>
  <c r="S115" i="4"/>
  <c r="J117" i="4"/>
  <c r="V78" i="4"/>
  <c r="O118" i="4"/>
  <c r="G118" i="1"/>
  <c r="N115" i="1"/>
  <c r="E75" i="4"/>
  <c r="H156" i="4"/>
  <c r="G76" i="1"/>
  <c r="V157" i="4"/>
  <c r="K77" i="4"/>
  <c r="V117" i="1"/>
  <c r="R37" i="1"/>
  <c r="K156" i="4"/>
  <c r="J157" i="4"/>
  <c r="G78" i="4"/>
  <c r="H38" i="1"/>
  <c r="S115" i="1"/>
  <c r="P75" i="4"/>
  <c r="D115" i="1"/>
  <c r="K116" i="1"/>
  <c r="P157" i="4"/>
  <c r="D37" i="1"/>
  <c r="C118" i="4"/>
  <c r="K78" i="4"/>
  <c r="T38" i="4"/>
  <c r="N78" i="1"/>
  <c r="T155" i="4"/>
  <c r="U155" i="1"/>
  <c r="N75" i="1"/>
  <c r="T75" i="4"/>
  <c r="D155" i="1"/>
  <c r="B115" i="4"/>
  <c r="G155" i="1"/>
  <c r="K75" i="1"/>
  <c r="F35" i="1"/>
  <c r="V35" i="4"/>
  <c r="V75" i="4"/>
  <c r="R35" i="4"/>
  <c r="L76" i="1"/>
  <c r="D116" i="4"/>
  <c r="F76" i="4"/>
  <c r="S77" i="4"/>
  <c r="H157" i="1"/>
  <c r="M37" i="1"/>
  <c r="F78" i="4"/>
  <c r="O38" i="4"/>
  <c r="B38" i="4"/>
  <c r="K118" i="1"/>
  <c r="G38" i="1"/>
  <c r="B157" i="4"/>
  <c r="N157" i="1"/>
  <c r="C77" i="1"/>
  <c r="B35" i="4"/>
  <c r="E158" i="4"/>
  <c r="L118" i="1"/>
  <c r="U75" i="1"/>
  <c r="I35" i="1"/>
  <c r="R117" i="4"/>
  <c r="C38" i="1"/>
  <c r="R35" i="1"/>
  <c r="J115" i="4"/>
  <c r="D39" i="1" l="1"/>
  <c r="C79" i="1"/>
  <c r="P79" i="1"/>
  <c r="H79" i="1"/>
  <c r="Q119" i="1"/>
  <c r="J159" i="1"/>
  <c r="V159" i="4"/>
  <c r="F39" i="1"/>
  <c r="H159" i="1"/>
  <c r="R159" i="4"/>
  <c r="Q39" i="4"/>
  <c r="J119" i="1"/>
  <c r="I39" i="1"/>
  <c r="B39" i="1"/>
  <c r="P159" i="4"/>
  <c r="J159" i="4"/>
  <c r="S79" i="1"/>
  <c r="E39" i="4"/>
  <c r="N39" i="4"/>
  <c r="D159" i="4"/>
  <c r="G159" i="4"/>
  <c r="R39" i="1"/>
  <c r="J119" i="4"/>
  <c r="V39" i="1"/>
  <c r="B159" i="4"/>
  <c r="B39" i="4"/>
  <c r="O119" i="1"/>
  <c r="H119" i="4"/>
  <c r="E119" i="1"/>
  <c r="F119" i="4"/>
  <c r="H39" i="4"/>
  <c r="D79" i="4"/>
  <c r="V119" i="1"/>
  <c r="U39" i="4"/>
  <c r="U119" i="1"/>
  <c r="T79" i="1"/>
  <c r="T119" i="4"/>
  <c r="T159" i="1"/>
  <c r="T159" i="4"/>
  <c r="S159" i="1"/>
  <c r="S119" i="4"/>
  <c r="R119" i="4"/>
  <c r="R159" i="1"/>
  <c r="P39" i="4"/>
  <c r="P79" i="4"/>
  <c r="O159" i="1"/>
  <c r="N159" i="1"/>
  <c r="M39" i="1"/>
  <c r="L39" i="4"/>
  <c r="L159" i="1"/>
  <c r="G79" i="1"/>
  <c r="O79" i="4"/>
  <c r="P159" i="1"/>
  <c r="O39" i="4"/>
  <c r="P119" i="4"/>
  <c r="I119" i="4"/>
  <c r="Q39" i="1"/>
  <c r="T39" i="4"/>
  <c r="I39" i="4"/>
  <c r="P39" i="1"/>
  <c r="J79" i="1"/>
  <c r="D159" i="1"/>
  <c r="N119" i="1"/>
  <c r="F159" i="1"/>
  <c r="V119" i="4"/>
  <c r="N159" i="4"/>
  <c r="S39" i="1"/>
  <c r="U79" i="1"/>
  <c r="G39" i="4"/>
  <c r="K119" i="4"/>
  <c r="O39" i="1"/>
  <c r="Q79" i="1"/>
  <c r="S119" i="1"/>
  <c r="U159" i="1"/>
  <c r="C119" i="4"/>
  <c r="S39" i="4"/>
  <c r="U79" i="4"/>
  <c r="M119" i="4"/>
  <c r="F79" i="1"/>
  <c r="E39" i="1"/>
  <c r="V159" i="1"/>
  <c r="M39" i="4"/>
  <c r="S79" i="4"/>
  <c r="G159" i="1"/>
  <c r="R79" i="4"/>
  <c r="L159" i="4"/>
  <c r="F119" i="1"/>
  <c r="F159" i="4"/>
  <c r="V79" i="4"/>
  <c r="N39" i="1"/>
  <c r="C159" i="1"/>
  <c r="N79" i="4"/>
  <c r="T119" i="1"/>
  <c r="K159" i="1"/>
  <c r="B79" i="4"/>
  <c r="S159" i="4"/>
  <c r="U39" i="1"/>
  <c r="L79" i="1"/>
  <c r="D119" i="1"/>
  <c r="T79" i="4"/>
  <c r="L119" i="4"/>
  <c r="C159" i="4"/>
  <c r="K39" i="1"/>
  <c r="M79" i="1"/>
  <c r="Q159" i="1"/>
  <c r="G39" i="1"/>
  <c r="I79" i="1"/>
  <c r="K119" i="1"/>
  <c r="M159" i="1"/>
  <c r="Q79" i="4"/>
  <c r="U159" i="4"/>
  <c r="I159" i="1"/>
  <c r="K39" i="4"/>
  <c r="M79" i="4"/>
  <c r="O119" i="4"/>
  <c r="Q159" i="4"/>
  <c r="H79" i="4"/>
  <c r="N79" i="1"/>
  <c r="E119" i="4"/>
  <c r="F79" i="4"/>
  <c r="T39" i="1"/>
  <c r="D119" i="4"/>
  <c r="B79" i="1"/>
  <c r="M119" i="1"/>
  <c r="B119" i="4"/>
  <c r="K79" i="4"/>
  <c r="F39" i="4"/>
  <c r="K79" i="1"/>
  <c r="H119" i="1"/>
  <c r="B159" i="1"/>
  <c r="L79" i="4"/>
  <c r="D79" i="1"/>
  <c r="L39" i="1"/>
  <c r="P119" i="1"/>
  <c r="C79" i="4"/>
  <c r="O159" i="4"/>
  <c r="V79" i="1"/>
  <c r="J39" i="4"/>
  <c r="U119" i="4"/>
  <c r="O79" i="1"/>
  <c r="D39" i="4"/>
  <c r="N119" i="4"/>
  <c r="H39" i="1"/>
  <c r="R119" i="1"/>
  <c r="G79" i="4"/>
  <c r="L119" i="1"/>
  <c r="V39" i="4"/>
  <c r="K159" i="4"/>
  <c r="R79" i="1"/>
  <c r="I119" i="1"/>
  <c r="Q119" i="4"/>
  <c r="H159" i="4"/>
  <c r="J39" i="1"/>
  <c r="B119" i="1"/>
  <c r="R39" i="4"/>
  <c r="J79" i="4"/>
  <c r="C39" i="1"/>
  <c r="E79" i="1"/>
  <c r="G119" i="1"/>
  <c r="E159" i="1"/>
  <c r="I79" i="4"/>
  <c r="M159" i="4"/>
  <c r="C119" i="1"/>
  <c r="E159" i="4"/>
  <c r="C39" i="4"/>
  <c r="E79" i="4"/>
  <c r="G119" i="4"/>
  <c r="I159" i="4"/>
  <c r="Z36" i="1" l="1"/>
  <c r="AJ75" i="4"/>
  <c r="AK158" i="1"/>
  <c r="Y36" i="1"/>
  <c r="AB37" i="4"/>
  <c r="AJ116" i="1"/>
  <c r="W36" i="1"/>
  <c r="AH115" i="1"/>
  <c r="AD36" i="1"/>
  <c r="Y116" i="1"/>
  <c r="AE116" i="1"/>
  <c r="X115" i="4"/>
  <c r="AE38" i="4"/>
  <c r="AD78" i="1"/>
  <c r="Y78" i="4"/>
  <c r="AB115" i="4"/>
  <c r="AG158" i="1"/>
  <c r="AK36" i="1"/>
  <c r="AD116" i="1"/>
  <c r="AJ78" i="4"/>
  <c r="AF116" i="1"/>
  <c r="AI38" i="1"/>
  <c r="AC115" i="1"/>
  <c r="AH116" i="4"/>
  <c r="AA38" i="1"/>
  <c r="AI36" i="1"/>
  <c r="AB35" i="4"/>
  <c r="AJ36" i="1"/>
  <c r="AC36" i="1"/>
  <c r="AL36" i="1"/>
  <c r="X36" i="1"/>
  <c r="AG156" i="1"/>
  <c r="AA155" i="1"/>
  <c r="AC76" i="1"/>
  <c r="Z36" i="4"/>
  <c r="Y75" i="1"/>
  <c r="AM158" i="4"/>
  <c r="AL116" i="4"/>
  <c r="AD155" i="1"/>
  <c r="AA36" i="1"/>
  <c r="Y155" i="4"/>
  <c r="AH158" i="4"/>
  <c r="AG36" i="1"/>
  <c r="AD78" i="4"/>
  <c r="Y35" i="1"/>
  <c r="W38" i="4"/>
  <c r="Z75" i="1"/>
  <c r="AL38" i="1"/>
  <c r="AH117" i="1"/>
  <c r="AB36" i="1"/>
  <c r="AD35" i="1"/>
  <c r="AE115" i="1"/>
  <c r="AF36" i="1"/>
  <c r="W115" i="1"/>
  <c r="AK35" i="4"/>
  <c r="X38" i="4"/>
  <c r="Z115" i="4"/>
  <c r="Y156" i="1"/>
  <c r="AG35" i="4"/>
  <c r="AE155" i="1"/>
  <c r="W76" i="1"/>
  <c r="AI118" i="4"/>
  <c r="AG38" i="4"/>
  <c r="AC38" i="1"/>
  <c r="AG78" i="4"/>
  <c r="AC158" i="1"/>
  <c r="Y76" i="4"/>
  <c r="AK116" i="4"/>
  <c r="AM155" i="4"/>
  <c r="AF158" i="1"/>
  <c r="X155" i="4"/>
  <c r="AH75" i="4"/>
  <c r="AA78" i="1"/>
  <c r="AB77" i="1"/>
  <c r="W117" i="4"/>
  <c r="AH36" i="1"/>
  <c r="Z116" i="1"/>
  <c r="AJ38" i="4"/>
  <c r="AI37" i="1"/>
  <c r="AL158" i="4"/>
  <c r="AJ117" i="4"/>
  <c r="Y38" i="4"/>
  <c r="Z118" i="1"/>
  <c r="AM158" i="1"/>
  <c r="AD157" i="4"/>
  <c r="AL155" i="4"/>
  <c r="AJ118" i="4"/>
  <c r="AG156" i="4"/>
  <c r="AB38" i="1"/>
  <c r="AL76" i="1"/>
  <c r="Z75" i="4"/>
  <c r="AD116" i="4"/>
  <c r="AK117" i="1"/>
  <c r="AM115" i="1"/>
  <c r="AM36" i="1"/>
  <c r="AB158" i="4"/>
  <c r="AC37" i="1"/>
  <c r="AH157" i="1"/>
  <c r="AF35" i="4"/>
  <c r="AD35" i="4"/>
  <c r="X156" i="4"/>
  <c r="AM118" i="1"/>
  <c r="Y117" i="4"/>
  <c r="AL116" i="1"/>
  <c r="Z156" i="1"/>
  <c r="AB118" i="1"/>
  <c r="AH115" i="4"/>
  <c r="AE36" i="1"/>
  <c r="Y35" i="4"/>
  <c r="AB76" i="4"/>
  <c r="AL155" i="1"/>
  <c r="AC77" i="4"/>
  <c r="AG76" i="4"/>
  <c r="AL37" i="4"/>
  <c r="AL118" i="1"/>
  <c r="AB78" i="4"/>
  <c r="AB75" i="4"/>
  <c r="AI116" i="4"/>
  <c r="AH118" i="1"/>
  <c r="AE158" i="4"/>
  <c r="W118" i="4"/>
  <c r="AF78" i="1"/>
  <c r="AB158" i="1"/>
  <c r="AI35" i="1"/>
  <c r="X77" i="4"/>
  <c r="AH76" i="1"/>
  <c r="AK115" i="4"/>
  <c r="AA38" i="4"/>
  <c r="AJ76" i="4"/>
  <c r="AA77" i="4"/>
  <c r="AM37" i="1"/>
  <c r="AL75" i="4"/>
  <c r="Z158" i="4"/>
  <c r="AM75" i="1"/>
  <c r="AB38" i="4"/>
  <c r="AF36" i="4"/>
  <c r="AE155" i="4"/>
  <c r="Y76" i="1"/>
  <c r="AM116" i="1"/>
  <c r="AH75" i="1"/>
  <c r="AJ75" i="1"/>
  <c r="W77" i="1"/>
  <c r="Z35" i="4"/>
  <c r="AK118" i="1"/>
  <c r="AC78" i="1"/>
  <c r="AC115" i="4"/>
  <c r="AE78" i="4"/>
  <c r="AF38" i="1"/>
  <c r="X158" i="1"/>
  <c r="AI158" i="1"/>
  <c r="Y118" i="4"/>
  <c r="AE37" i="4"/>
  <c r="AI78" i="1"/>
  <c r="AJ156" i="4"/>
  <c r="AG38" i="1"/>
  <c r="AK158" i="4"/>
  <c r="W116" i="4"/>
  <c r="Y115" i="4"/>
  <c r="X157" i="4"/>
  <c r="AG117" i="4"/>
  <c r="AH77" i="1"/>
  <c r="Z158" i="1"/>
  <c r="W158" i="1"/>
  <c r="AM156" i="1"/>
  <c r="AJ115" i="4"/>
  <c r="W157" i="4"/>
  <c r="AE76" i="1"/>
  <c r="AE115" i="4"/>
  <c r="W155" i="4"/>
  <c r="AK115" i="1"/>
  <c r="X78" i="4"/>
  <c r="AK76" i="1"/>
  <c r="AK155" i="4"/>
  <c r="AH155" i="4"/>
  <c r="Y115" i="1"/>
  <c r="AF76" i="1"/>
  <c r="AK35" i="1"/>
  <c r="AM117" i="4"/>
  <c r="X115" i="1"/>
  <c r="AF116" i="4"/>
  <c r="AI157" i="1"/>
  <c r="Z78" i="1"/>
  <c r="AB35" i="1"/>
  <c r="AA158" i="4"/>
  <c r="W78" i="1"/>
  <c r="AL157" i="1"/>
  <c r="AD118" i="1"/>
  <c r="AF115" i="4"/>
  <c r="AJ116" i="4"/>
  <c r="AG155" i="4"/>
  <c r="AE35" i="4"/>
  <c r="Z37" i="1"/>
  <c r="AC156" i="1"/>
  <c r="AM157" i="4"/>
  <c r="Z76" i="1"/>
  <c r="AG75" i="4"/>
  <c r="AE38" i="1"/>
  <c r="AH35" i="1"/>
  <c r="AM78" i="1"/>
  <c r="W115" i="4"/>
  <c r="AA117" i="4"/>
  <c r="AA75" i="1"/>
  <c r="AM75" i="4"/>
  <c r="W118" i="1"/>
  <c r="X157" i="1"/>
  <c r="AF158" i="4"/>
  <c r="AH35" i="4"/>
  <c r="AB76" i="1"/>
  <c r="AG75" i="1"/>
  <c r="Z115" i="1"/>
  <c r="AD115" i="1"/>
  <c r="X76" i="4"/>
  <c r="X158" i="4"/>
  <c r="AJ37" i="4"/>
  <c r="AH76" i="4"/>
  <c r="AB118" i="4"/>
  <c r="W116" i="1"/>
  <c r="AB78" i="1"/>
  <c r="AA155" i="4"/>
  <c r="AM156" i="4"/>
  <c r="AF117" i="1"/>
  <c r="AA158" i="1"/>
  <c r="AI155" i="4"/>
  <c r="AA116" i="1"/>
  <c r="AI75" i="4"/>
  <c r="AE75" i="1"/>
  <c r="AA36" i="4"/>
  <c r="AM77" i="1"/>
  <c r="Y117" i="1"/>
  <c r="AH38" i="4"/>
  <c r="AE118" i="1"/>
  <c r="AF37" i="4"/>
  <c r="Z117" i="4"/>
  <c r="AK156" i="4"/>
  <c r="X116" i="4"/>
  <c r="AA156" i="4"/>
  <c r="AD158" i="4"/>
  <c r="AL157" i="4"/>
  <c r="Y36" i="4"/>
  <c r="AL158" i="1"/>
  <c r="AG77" i="4"/>
  <c r="Y118" i="1"/>
  <c r="AL115" i="4"/>
  <c r="Z117" i="1"/>
  <c r="AB116" i="1"/>
  <c r="Y75" i="4"/>
  <c r="Y38" i="1"/>
  <c r="AJ35" i="4"/>
  <c r="AC156" i="4"/>
  <c r="AD117" i="4"/>
  <c r="AJ157" i="1"/>
  <c r="AE77" i="1"/>
  <c r="AM38" i="4"/>
  <c r="AI76" i="4"/>
  <c r="AB115" i="1"/>
  <c r="Z118" i="4"/>
  <c r="AD37" i="4"/>
  <c r="AK37" i="4"/>
  <c r="AG157" i="4"/>
  <c r="X118" i="1"/>
  <c r="X35" i="1"/>
  <c r="AF156" i="4"/>
  <c r="AB36" i="4"/>
  <c r="AF118" i="4"/>
  <c r="AF157" i="1"/>
  <c r="AF76" i="4"/>
  <c r="AG117" i="1"/>
  <c r="AD38" i="1"/>
  <c r="AJ76" i="1"/>
  <c r="Y116" i="4"/>
  <c r="AF155" i="4"/>
  <c r="W38" i="1"/>
  <c r="W156" i="1"/>
  <c r="Z156" i="4"/>
  <c r="AI75" i="1"/>
  <c r="AC35" i="1"/>
  <c r="AB75" i="1"/>
  <c r="Z155" i="1"/>
  <c r="AH158" i="1"/>
  <c r="AL37" i="1"/>
  <c r="AF118" i="1"/>
  <c r="AL118" i="4"/>
  <c r="Y155" i="1"/>
  <c r="W75" i="4"/>
  <c r="AI158" i="4"/>
  <c r="AM35" i="1"/>
  <c r="AD158" i="1"/>
  <c r="X116" i="1"/>
  <c r="AH155" i="1"/>
  <c r="AM38" i="1"/>
  <c r="AH37" i="1"/>
  <c r="W157" i="1"/>
  <c r="AH116" i="1"/>
  <c r="AD115" i="4"/>
  <c r="AC118" i="1"/>
  <c r="AM36" i="4"/>
  <c r="AH78" i="4"/>
  <c r="AI116" i="1"/>
  <c r="AI156" i="4"/>
  <c r="AJ118" i="1"/>
  <c r="AC116" i="1"/>
  <c r="AM77" i="4"/>
  <c r="AK116" i="1"/>
  <c r="AI155" i="1"/>
  <c r="X78" i="1"/>
  <c r="X35" i="4"/>
  <c r="AJ157" i="4"/>
  <c r="X38" i="1"/>
  <c r="AI37" i="4"/>
  <c r="AG78" i="1"/>
  <c r="AG118" i="4"/>
  <c r="W78" i="4"/>
  <c r="AH77" i="4"/>
  <c r="AD118" i="4"/>
  <c r="AC37" i="4"/>
  <c r="AK36" i="4"/>
  <c r="AC155" i="1"/>
  <c r="AK75" i="1"/>
  <c r="AF75" i="4"/>
  <c r="AA76" i="1"/>
  <c r="AA157" i="1"/>
  <c r="AD37" i="1"/>
  <c r="AE157" i="4"/>
  <c r="AA35" i="1"/>
  <c r="AJ36" i="4"/>
  <c r="AC117" i="1"/>
  <c r="AM157" i="1"/>
  <c r="AC75" i="4"/>
  <c r="X156" i="1"/>
  <c r="AL78" i="4"/>
  <c r="AI115" i="4"/>
  <c r="AE156" i="1"/>
  <c r="AB157" i="4"/>
  <c r="AG76" i="1"/>
  <c r="AK38" i="1"/>
  <c r="AG118" i="1"/>
  <c r="AH118" i="4"/>
  <c r="AK76" i="4"/>
  <c r="AL75" i="1"/>
  <c r="AE76" i="4"/>
  <c r="AG35" i="1"/>
  <c r="AD77" i="4"/>
  <c r="Z116" i="4"/>
  <c r="W36" i="4"/>
  <c r="AC35" i="4"/>
  <c r="Z77" i="4"/>
  <c r="AI118" i="1"/>
  <c r="AK37" i="1"/>
  <c r="AC116" i="4"/>
  <c r="AM78" i="4"/>
  <c r="AC77" i="1"/>
  <c r="AG116" i="1"/>
  <c r="W37" i="1"/>
  <c r="Z77" i="1"/>
  <c r="X36" i="4"/>
  <c r="AI117" i="1"/>
  <c r="AK78" i="1"/>
  <c r="X117" i="1"/>
  <c r="AL76" i="4"/>
  <c r="AA37" i="1"/>
  <c r="Y158" i="4"/>
  <c r="AG158" i="4"/>
  <c r="AE118" i="4"/>
  <c r="AA78" i="4"/>
  <c r="W156" i="4"/>
  <c r="W158" i="4"/>
  <c r="AF78" i="4"/>
  <c r="AK117" i="4"/>
  <c r="AF117" i="4"/>
  <c r="AE35" i="1"/>
  <c r="W35" i="4"/>
  <c r="Y78" i="1"/>
  <c r="AB155" i="1"/>
  <c r="AJ38" i="1"/>
  <c r="AK157" i="1"/>
  <c r="AK159" i="1" s="1"/>
  <c r="Y157" i="4"/>
  <c r="X76" i="1"/>
  <c r="AL77" i="1"/>
  <c r="AB156" i="1"/>
  <c r="AM35" i="4"/>
  <c r="AA76" i="4"/>
  <c r="X155" i="1"/>
  <c r="AL156" i="1"/>
  <c r="AK155" i="1"/>
  <c r="Z78" i="4"/>
  <c r="X75" i="4"/>
  <c r="AA117" i="1"/>
  <c r="AF155" i="1"/>
  <c r="AM115" i="4"/>
  <c r="AB155" i="4"/>
  <c r="W35" i="1"/>
  <c r="AC75" i="1"/>
  <c r="AC78" i="4"/>
  <c r="AI76" i="1"/>
  <c r="AL35" i="4"/>
  <c r="AJ156" i="1"/>
  <c r="AE116" i="4"/>
  <c r="Y37" i="1"/>
  <c r="AE117" i="1"/>
  <c r="AI115" i="1"/>
  <c r="AD156" i="4"/>
  <c r="AF156" i="1"/>
  <c r="W155" i="1"/>
  <c r="AK77" i="4"/>
  <c r="Y157" i="1"/>
  <c r="AI78" i="4"/>
  <c r="AH36" i="4"/>
  <c r="AF115" i="1"/>
  <c r="W75" i="1"/>
  <c r="AB116" i="4"/>
  <c r="AJ155" i="4"/>
  <c r="AE37" i="1"/>
  <c r="AH157" i="4"/>
  <c r="AD156" i="1"/>
  <c r="X77" i="1"/>
  <c r="Z76" i="4"/>
  <c r="X37" i="1"/>
  <c r="AA118" i="4"/>
  <c r="AJ77" i="1"/>
  <c r="AB157" i="1"/>
  <c r="AL38" i="4"/>
  <c r="AG37" i="4"/>
  <c r="AH117" i="4"/>
  <c r="AL156" i="4"/>
  <c r="AC36" i="4"/>
  <c r="W37" i="4"/>
  <c r="X75" i="1"/>
  <c r="AI36" i="4"/>
  <c r="Z157" i="1"/>
  <c r="AG37" i="1"/>
  <c r="AD75" i="4"/>
  <c r="AE158" i="1"/>
  <c r="AC38" i="4"/>
  <c r="AJ77" i="4"/>
  <c r="AJ158" i="4"/>
  <c r="AM155" i="1"/>
  <c r="AK38" i="4"/>
  <c r="Y158" i="1"/>
  <c r="AA156" i="1"/>
  <c r="AG115" i="1"/>
  <c r="AB37" i="1"/>
  <c r="Z35" i="1"/>
  <c r="AA118" i="1"/>
  <c r="AB117" i="1"/>
  <c r="AF38" i="4"/>
  <c r="AJ115" i="1"/>
  <c r="AF37" i="1"/>
  <c r="AF77" i="4"/>
  <c r="AM118" i="4"/>
  <c r="AD117" i="1"/>
  <c r="AB156" i="4"/>
  <c r="AC158" i="4"/>
  <c r="AA157" i="4"/>
  <c r="AH156" i="4"/>
  <c r="Z157" i="4"/>
  <c r="AL117" i="4"/>
  <c r="AM76" i="4"/>
  <c r="AG155" i="1"/>
  <c r="AJ158" i="1"/>
  <c r="AH156" i="1"/>
  <c r="AA75" i="4"/>
  <c r="AD155" i="4"/>
  <c r="AE36" i="4"/>
  <c r="AL36" i="4"/>
  <c r="AB77" i="4"/>
  <c r="AJ117" i="1"/>
  <c r="AD76" i="4"/>
  <c r="AC157" i="1"/>
  <c r="AK156" i="1"/>
  <c r="X118" i="4"/>
  <c r="AF35" i="1"/>
  <c r="AK78" i="4"/>
  <c r="AK77" i="1"/>
  <c r="AF157" i="4"/>
  <c r="AK157" i="4"/>
  <c r="AG116" i="4"/>
  <c r="AK118" i="4"/>
  <c r="AL35" i="1"/>
  <c r="AD76" i="1"/>
  <c r="AE78" i="1"/>
  <c r="AC117" i="4"/>
  <c r="AA35" i="4"/>
  <c r="AI157" i="4"/>
  <c r="AJ78" i="1"/>
  <c r="AG157" i="1"/>
  <c r="AD77" i="1"/>
  <c r="Y77" i="1"/>
  <c r="AC155" i="4"/>
  <c r="AJ35" i="1"/>
  <c r="AJ155" i="1"/>
  <c r="Z37" i="4"/>
  <c r="AI77" i="1"/>
  <c r="Y37" i="4"/>
  <c r="AD75" i="1"/>
  <c r="AG77" i="1"/>
  <c r="AM117" i="1"/>
  <c r="AC76" i="4"/>
  <c r="AL117" i="1"/>
  <c r="Z155" i="4"/>
  <c r="AM37" i="4"/>
  <c r="AK75" i="4"/>
  <c r="X37" i="4"/>
  <c r="Y77" i="4"/>
  <c r="Y156" i="4"/>
  <c r="AI35" i="4"/>
  <c r="AI38" i="4"/>
  <c r="W76" i="4"/>
  <c r="AA115" i="1"/>
  <c r="AM116" i="4"/>
  <c r="X117" i="4"/>
  <c r="AI156" i="1"/>
  <c r="AE117" i="4"/>
  <c r="AH37" i="4"/>
  <c r="AM76" i="1"/>
  <c r="AH78" i="1"/>
  <c r="Z38" i="4"/>
  <c r="AA77" i="1"/>
  <c r="AL78" i="1"/>
  <c r="AJ37" i="1"/>
  <c r="AC157" i="4"/>
  <c r="AG36" i="4"/>
  <c r="AI117" i="4"/>
  <c r="AC118" i="4"/>
  <c r="AA116" i="4"/>
  <c r="AD157" i="1"/>
  <c r="AI77" i="4"/>
  <c r="W77" i="4"/>
  <c r="AA37" i="4"/>
  <c r="AA115" i="4"/>
  <c r="AE75" i="4"/>
  <c r="AD36" i="4"/>
  <c r="AF75" i="1"/>
  <c r="AE156" i="4"/>
  <c r="AD38" i="4"/>
  <c r="Z38" i="1"/>
  <c r="AL77" i="4"/>
  <c r="AH38" i="1"/>
  <c r="AG115" i="4"/>
  <c r="AE77" i="4"/>
  <c r="AL115" i="1"/>
  <c r="AB117" i="4"/>
  <c r="W117" i="1"/>
  <c r="AE157" i="1"/>
  <c r="AF77" i="1"/>
  <c r="AB159" i="4" l="1"/>
  <c r="Y39" i="4"/>
  <c r="AH159" i="4"/>
  <c r="AA79" i="1"/>
  <c r="AD159" i="1"/>
  <c r="AB39" i="1"/>
  <c r="AD119" i="1"/>
  <c r="AI79" i="1"/>
  <c r="AE39" i="4"/>
  <c r="AG39" i="4"/>
  <c r="AC159" i="1"/>
  <c r="AC79" i="1"/>
  <c r="AD79" i="1"/>
  <c r="Z159" i="4"/>
  <c r="AB79" i="4"/>
  <c r="AB119" i="1"/>
  <c r="AA159" i="4"/>
  <c r="Y39" i="1"/>
  <c r="W39" i="4"/>
  <c r="AA39" i="4"/>
  <c r="AJ79" i="4"/>
  <c r="X119" i="1"/>
  <c r="AF159" i="1"/>
  <c r="AI159" i="4"/>
  <c r="AL119" i="4"/>
  <c r="X39" i="4"/>
  <c r="AL39" i="1"/>
  <c r="AJ39" i="4"/>
  <c r="AJ39" i="1"/>
  <c r="AH119" i="4"/>
  <c r="AH79" i="4"/>
  <c r="AM159" i="4"/>
  <c r="AM119" i="4"/>
  <c r="AL159" i="4"/>
  <c r="AB119" i="4"/>
  <c r="AF119" i="4"/>
  <c r="AE159" i="1"/>
  <c r="AF79" i="1"/>
  <c r="X159" i="1"/>
  <c r="Z159" i="1"/>
  <c r="Z79" i="1"/>
  <c r="AL159" i="1"/>
  <c r="AE79" i="4"/>
  <c r="AF39" i="1"/>
  <c r="Z119" i="1"/>
  <c r="X39" i="1"/>
  <c r="Z119" i="4"/>
  <c r="AM159" i="1"/>
  <c r="AL79" i="4"/>
  <c r="AK79" i="1"/>
  <c r="AK159" i="4"/>
  <c r="AJ119" i="1"/>
  <c r="AI79" i="4"/>
  <c r="AH39" i="4"/>
  <c r="AG159" i="1"/>
  <c r="AG79" i="4"/>
  <c r="AE119" i="1"/>
  <c r="AE159" i="4"/>
  <c r="AD39" i="1"/>
  <c r="AD79" i="4"/>
  <c r="AC119" i="1"/>
  <c r="AC159" i="4"/>
  <c r="AC39" i="1"/>
  <c r="AC39" i="4"/>
  <c r="AA159" i="1"/>
  <c r="X119" i="4"/>
  <c r="X79" i="1"/>
  <c r="W159" i="1"/>
  <c r="AH39" i="1"/>
  <c r="AK79" i="4"/>
  <c r="AM39" i="4"/>
  <c r="AI119" i="4"/>
  <c r="AE119" i="4"/>
  <c r="AF79" i="4"/>
  <c r="Y159" i="4"/>
  <c r="Z79" i="4"/>
  <c r="AH119" i="1"/>
  <c r="AK39" i="1"/>
  <c r="Y79" i="1"/>
  <c r="AG39" i="1"/>
  <c r="W119" i="1"/>
  <c r="AG79" i="1"/>
  <c r="AL79" i="1"/>
  <c r="AM79" i="4"/>
  <c r="X79" i="4"/>
  <c r="AH79" i="1"/>
  <c r="AG119" i="4"/>
  <c r="AI159" i="1"/>
  <c r="AM39" i="1"/>
  <c r="Z39" i="4"/>
  <c r="AJ159" i="4"/>
  <c r="AD159" i="4"/>
  <c r="Y119" i="1"/>
  <c r="AF159" i="4"/>
  <c r="AD39" i="4"/>
  <c r="AM79" i="1"/>
  <c r="W79" i="4"/>
  <c r="Y79" i="4"/>
  <c r="X159" i="4"/>
  <c r="AA79" i="4"/>
  <c r="AL39" i="4"/>
  <c r="AI39" i="1"/>
  <c r="AK119" i="4"/>
  <c r="AA119" i="1"/>
  <c r="AI119" i="1"/>
  <c r="AI39" i="4"/>
  <c r="AC79" i="4"/>
  <c r="Y119" i="4"/>
  <c r="Y159" i="1"/>
  <c r="AE79" i="1"/>
  <c r="W159" i="4"/>
  <c r="AM119" i="1"/>
  <c r="W119" i="4"/>
  <c r="AJ159" i="1"/>
  <c r="Z39" i="1"/>
  <c r="AK119" i="1"/>
  <c r="AB79" i="1"/>
  <c r="W39" i="1"/>
  <c r="AD119" i="4"/>
  <c r="AE39" i="1"/>
  <c r="AF119" i="1"/>
  <c r="AA119" i="4"/>
  <c r="AJ119" i="4"/>
  <c r="AA39" i="1"/>
  <c r="AC119" i="4"/>
  <c r="AF39" i="4"/>
  <c r="AL119" i="1"/>
  <c r="AB159" i="1"/>
  <c r="AG159" i="4"/>
  <c r="W79" i="1"/>
  <c r="AJ79" i="1"/>
  <c r="AG119" i="1"/>
  <c r="AK39" i="4"/>
  <c r="AH159" i="1"/>
  <c r="AB39" i="4"/>
</calcChain>
</file>

<file path=xl/sharedStrings.xml><?xml version="1.0" encoding="utf-8"?>
<sst xmlns="http://schemas.openxmlformats.org/spreadsheetml/2006/main" count="448" uniqueCount="54">
  <si>
    <t>入荷量</t>
    <rPh sb="0" eb="3">
      <t>ニュウカリョウ</t>
    </rPh>
    <phoneticPr fontId="5"/>
  </si>
  <si>
    <t>卸売価格</t>
    <rPh sb="0" eb="2">
      <t>オロシウリ</t>
    </rPh>
    <rPh sb="2" eb="4">
      <t>カカク</t>
    </rPh>
    <phoneticPr fontId="5"/>
  </si>
  <si>
    <t>平均価格</t>
    <rPh sb="0" eb="2">
      <t>ヘイキン</t>
    </rPh>
    <rPh sb="2" eb="4">
      <t>カカク</t>
    </rPh>
    <phoneticPr fontId="5"/>
  </si>
  <si>
    <t>トン</t>
  </si>
  <si>
    <t>福岡市</t>
    <rPh sb="0" eb="3">
      <t>フクオカシ</t>
    </rPh>
    <phoneticPr fontId="6"/>
  </si>
  <si>
    <t>大阪市</t>
    <rPh sb="0" eb="3">
      <t>オオサカシ</t>
    </rPh>
    <phoneticPr fontId="6"/>
  </si>
  <si>
    <t>名古屋市</t>
    <rPh sb="0" eb="4">
      <t>ナゴヤシ</t>
    </rPh>
    <phoneticPr fontId="6"/>
  </si>
  <si>
    <t>東京都</t>
    <rPh sb="0" eb="2">
      <t>トウキョウ</t>
    </rPh>
    <rPh sb="2" eb="3">
      <t>ト</t>
    </rPh>
    <phoneticPr fontId="6"/>
  </si>
  <si>
    <t>さといも</t>
  </si>
  <si>
    <t>ばれいしょ</t>
  </si>
  <si>
    <t>　　1．「さといも」の卸売数量と価格の推移</t>
    <rPh sb="11" eb="13">
      <t>オロシウリ</t>
    </rPh>
    <rPh sb="13" eb="15">
      <t>スウリョウ</t>
    </rPh>
    <rPh sb="16" eb="18">
      <t>カカク</t>
    </rPh>
    <rPh sb="19" eb="21">
      <t>スイイ</t>
    </rPh>
    <phoneticPr fontId="4"/>
  </si>
  <si>
    <t>　　２．「ばれいしょ」の卸売数量と価格の推移　</t>
    <rPh sb="12" eb="14">
      <t>オロシウリ</t>
    </rPh>
    <rPh sb="14" eb="16">
      <t>スウリョウ</t>
    </rPh>
    <rPh sb="17" eb="19">
      <t>カカク</t>
    </rPh>
    <rPh sb="20" eb="22">
      <t>スイイ</t>
    </rPh>
    <phoneticPr fontId="4"/>
  </si>
  <si>
    <r>
      <t>　　　　　　　　　　　</t>
    </r>
    <r>
      <rPr>
        <b/>
        <sz val="10"/>
        <rFont val="ＭＳ Ｐゴシック"/>
        <family val="3"/>
        <charset val="128"/>
      </rPr>
      <t>（東京都中央卸売市場）</t>
    </r>
    <phoneticPr fontId="5"/>
  </si>
  <si>
    <r>
      <t>　　　　　　　　　　　</t>
    </r>
    <r>
      <rPr>
        <b/>
        <sz val="10"/>
        <rFont val="ＭＳ Ｐゴシック"/>
        <family val="3"/>
        <charset val="128"/>
      </rPr>
      <t>（名古屋市中央卸売市場）</t>
    </r>
    <rPh sb="12" eb="16">
      <t>ナゴヤシ</t>
    </rPh>
    <phoneticPr fontId="5"/>
  </si>
  <si>
    <r>
      <t>　　　　　　　　　　　</t>
    </r>
    <r>
      <rPr>
        <b/>
        <sz val="10"/>
        <rFont val="ＭＳ Ｐゴシック"/>
        <family val="3"/>
        <charset val="128"/>
      </rPr>
      <t>（大阪市中央卸売市場）</t>
    </r>
    <rPh sb="12" eb="14">
      <t>オオサカ</t>
    </rPh>
    <rPh sb="14" eb="15">
      <t>シ</t>
    </rPh>
    <rPh sb="15" eb="17">
      <t>チュウオウ</t>
    </rPh>
    <phoneticPr fontId="5"/>
  </si>
  <si>
    <r>
      <t>　　　　　　　　　　　</t>
    </r>
    <r>
      <rPr>
        <b/>
        <sz val="10"/>
        <rFont val="ＭＳ Ｐゴシック"/>
        <family val="3"/>
        <charset val="128"/>
      </rPr>
      <t>（福岡市中央卸売市場）</t>
    </r>
    <rPh sb="12" eb="14">
      <t>フクオカ</t>
    </rPh>
    <rPh sb="14" eb="15">
      <t>シ</t>
    </rPh>
    <rPh sb="15" eb="17">
      <t>チュウオウ</t>
    </rPh>
    <phoneticPr fontId="5"/>
  </si>
  <si>
    <r>
      <t>　　　　　　　　　　　</t>
    </r>
    <r>
      <rPr>
        <b/>
        <sz val="10"/>
        <rFont val="ＭＳ Ｐゴシック"/>
        <family val="3"/>
        <charset val="128"/>
      </rPr>
      <t>（東京都中央卸売市場）</t>
    </r>
    <phoneticPr fontId="5"/>
  </si>
  <si>
    <t>平均価格</t>
    <rPh sb="0" eb="2">
      <t>ヘイキン</t>
    </rPh>
    <rPh sb="2" eb="4">
      <t>カカク</t>
    </rPh>
    <phoneticPr fontId="7"/>
  </si>
  <si>
    <t>入荷量</t>
    <rPh sb="0" eb="3">
      <t>ニュウカリョウ</t>
    </rPh>
    <phoneticPr fontId="8"/>
  </si>
  <si>
    <t>卸売価格</t>
    <rPh sb="0" eb="2">
      <t>オロシウリ</t>
    </rPh>
    <rPh sb="2" eb="4">
      <t>カカク</t>
    </rPh>
    <phoneticPr fontId="8"/>
  </si>
  <si>
    <t>平年比</t>
    <rPh sb="0" eb="2">
      <t>ヘイネン</t>
    </rPh>
    <rPh sb="2" eb="3">
      <t>ヒ</t>
    </rPh>
    <phoneticPr fontId="4"/>
  </si>
  <si>
    <t>26</t>
  </si>
  <si>
    <t>28</t>
  </si>
  <si>
    <t>　　　資料：alic「ベジ探」、（原資料）農林水産省「青果物卸売市場調査（日別調査）結果」</t>
  </si>
  <si>
    <t>9</t>
  </si>
  <si>
    <t>16</t>
  </si>
  <si>
    <t>23</t>
  </si>
  <si>
    <t>6</t>
  </si>
  <si>
    <t>13</t>
  </si>
  <si>
    <t>20</t>
  </si>
  <si>
    <t>27</t>
  </si>
  <si>
    <t>12</t>
  </si>
  <si>
    <t>19</t>
  </si>
  <si>
    <t>30</t>
  </si>
  <si>
    <t>7</t>
  </si>
  <si>
    <t>14</t>
  </si>
  <si>
    <t>21</t>
  </si>
  <si>
    <t>4</t>
  </si>
  <si>
    <t>11</t>
  </si>
  <si>
    <t>18</t>
  </si>
  <si>
    <t>25</t>
  </si>
  <si>
    <t>2</t>
  </si>
  <si>
    <t>8</t>
  </si>
  <si>
    <t>15</t>
  </si>
  <si>
    <t>22</t>
  </si>
  <si>
    <t>29</t>
  </si>
  <si>
    <t>6/1</t>
  </si>
  <si>
    <t>5</t>
  </si>
  <si>
    <t>7/2</t>
  </si>
  <si>
    <t>3</t>
  </si>
  <si>
    <t>10</t>
  </si>
  <si>
    <t>17</t>
  </si>
  <si>
    <t>24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</si>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</sst>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m/d;@"/>
    <numFmt numFmtId="178" formatCode="[$-411]ggge&quot;年&quot;m&quot;月&quot;"/>
  </numFmts>
  <fonts count="54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7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3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7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b/>
      <sz val="11"/>
      <color indexed="10"/>
      <name val="ＭＳ Ｐゴシック"/>
      <family val="3"/>
      <charset val="128"/>
      <scheme val="minor"/>
    </font>
    <font>
      <b/>
      <sz val="10"/>
      <color indexed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7"/>
      <color indexed="10"/>
      <name val="ＭＳ Ｐゴシック"/>
      <family val="3"/>
      <charset val="128"/>
      <scheme val="minor"/>
    </font>
    <font>
      <b/>
      <sz val="10"/>
      <color rgb="FFFF0000"/>
      <name val="BIZ UDP明朝 Medium"/>
      <family val="1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2"/>
      <name val="ＭＳ Ｐ明朝"/>
      <family val="1"/>
      <charset val="128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5">
    <xf numFmtId="0" fontId="0" fillId="0" borderId="0">
      <alignment vertical="center"/>
    </xf>
    <xf numFmtId="38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9" borderId="16" applyNumberFormat="0" applyAlignment="0" applyProtection="0">
      <alignment vertical="center"/>
    </xf>
    <xf numFmtId="0" fontId="44" fillId="10" borderId="17" applyNumberFormat="0" applyAlignment="0" applyProtection="0">
      <alignment vertical="center"/>
    </xf>
    <xf numFmtId="0" fontId="45" fillId="10" borderId="16" applyNumberFormat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7" fillId="11" borderId="19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1" fillId="12" borderId="20" applyNumberFormat="0" applyFont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3" fillId="0" borderId="0"/>
    <xf numFmtId="38" fontId="5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9">
    <xf numFmtId="0" fontId="0" fillId="0" borderId="0" xfId="0">
      <alignment vertical="center"/>
    </xf>
    <xf numFmtId="38" fontId="16" fillId="0" borderId="0" xfId="1" applyFont="1">
      <alignment vertical="center"/>
    </xf>
    <xf numFmtId="38" fontId="19" fillId="0" borderId="0" xfId="1" applyFont="1" applyAlignment="1">
      <alignment horizontal="center" vertical="center"/>
    </xf>
    <xf numFmtId="38" fontId="6" fillId="0" borderId="0" xfId="1" applyFont="1" applyBorder="1" applyAlignment="1">
      <alignment horizontal="center" vertical="center"/>
    </xf>
    <xf numFmtId="0" fontId="20" fillId="0" borderId="0" xfId="0" applyFont="1">
      <alignment vertical="center"/>
    </xf>
    <xf numFmtId="0" fontId="0" fillId="2" borderId="0" xfId="0" applyFill="1">
      <alignment vertical="center"/>
    </xf>
    <xf numFmtId="38" fontId="21" fillId="2" borderId="0" xfId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38" fontId="18" fillId="0" borderId="0" xfId="1" applyFont="1">
      <alignment vertical="center"/>
    </xf>
    <xf numFmtId="38" fontId="22" fillId="2" borderId="0" xfId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38" fontId="16" fillId="0" borderId="0" xfId="1" applyFont="1" applyBorder="1">
      <alignment vertical="center"/>
    </xf>
    <xf numFmtId="0" fontId="0" fillId="3" borderId="0" xfId="0" applyFill="1">
      <alignment vertical="center"/>
    </xf>
    <xf numFmtId="38" fontId="16" fillId="3" borderId="0" xfId="1" applyFont="1" applyFill="1" applyBorder="1">
      <alignment vertical="center"/>
    </xf>
    <xf numFmtId="38" fontId="17" fillId="2" borderId="0" xfId="1" applyFont="1" applyFill="1" applyBorder="1">
      <alignment vertical="center"/>
    </xf>
    <xf numFmtId="0" fontId="17" fillId="2" borderId="0" xfId="0" applyFont="1" applyFill="1">
      <alignment vertical="center"/>
    </xf>
    <xf numFmtId="38" fontId="16" fillId="3" borderId="6" xfId="1" applyFont="1" applyFill="1" applyBorder="1">
      <alignment vertical="center"/>
    </xf>
    <xf numFmtId="178" fontId="10" fillId="4" borderId="7" xfId="1" applyNumberFormat="1" applyFont="1" applyFill="1" applyBorder="1" applyAlignment="1">
      <alignment horizontal="right" vertical="center"/>
    </xf>
    <xf numFmtId="38" fontId="6" fillId="0" borderId="8" xfId="1" applyFont="1" applyBorder="1" applyAlignment="1">
      <alignment horizontal="center" vertical="center"/>
    </xf>
    <xf numFmtId="38" fontId="6" fillId="0" borderId="9" xfId="1" applyFont="1" applyBorder="1" applyAlignment="1">
      <alignment horizontal="center" vertical="center"/>
    </xf>
    <xf numFmtId="38" fontId="6" fillId="0" borderId="10" xfId="1" applyFont="1" applyBorder="1" applyAlignment="1">
      <alignment horizontal="center" vertical="center"/>
    </xf>
    <xf numFmtId="178" fontId="10" fillId="0" borderId="7" xfId="1" applyNumberFormat="1" applyFont="1" applyFill="1" applyBorder="1" applyAlignment="1">
      <alignment horizontal="right" vertical="center"/>
    </xf>
    <xf numFmtId="38" fontId="20" fillId="0" borderId="0" xfId="1" applyFont="1">
      <alignment vertical="center"/>
    </xf>
    <xf numFmtId="38" fontId="15" fillId="0" borderId="1" xfId="1" applyFont="1" applyBorder="1">
      <alignment vertical="center"/>
    </xf>
    <xf numFmtId="38" fontId="25" fillId="0" borderId="1" xfId="1" applyFont="1" applyBorder="1">
      <alignment vertical="center"/>
    </xf>
    <xf numFmtId="0" fontId="28" fillId="0" borderId="0" xfId="0" applyFont="1" applyAlignment="1">
      <alignment vertical="top"/>
    </xf>
    <xf numFmtId="38" fontId="28" fillId="0" borderId="0" xfId="1" applyFont="1" applyAlignment="1">
      <alignment vertical="top"/>
    </xf>
    <xf numFmtId="38" fontId="29" fillId="0" borderId="0" xfId="1" applyFont="1" applyAlignment="1">
      <alignment horizontal="center" vertical="top"/>
    </xf>
    <xf numFmtId="38" fontId="29" fillId="0" borderId="0" xfId="1" applyFont="1" applyAlignment="1">
      <alignment vertical="top"/>
    </xf>
    <xf numFmtId="38" fontId="30" fillId="0" borderId="0" xfId="1" applyFont="1" applyBorder="1" applyAlignment="1">
      <alignment horizontal="center" vertical="top"/>
    </xf>
    <xf numFmtId="38" fontId="32" fillId="0" borderId="0" xfId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38" fontId="33" fillId="0" borderId="0" xfId="1" applyFont="1" applyAlignment="1">
      <alignment horizontal="center" vertical="center"/>
    </xf>
    <xf numFmtId="0" fontId="34" fillId="0" borderId="0" xfId="0" applyFont="1">
      <alignment vertical="center"/>
    </xf>
    <xf numFmtId="38" fontId="35" fillId="0" borderId="0" xfId="1" applyFont="1" applyAlignment="1">
      <alignment horizontal="center" vertical="center"/>
    </xf>
    <xf numFmtId="38" fontId="11" fillId="0" borderId="2" xfId="1" quotePrefix="1" applyFont="1" applyBorder="1" applyAlignment="1">
      <alignment horizontal="center" vertical="center"/>
    </xf>
    <xf numFmtId="38" fontId="0" fillId="3" borderId="2" xfId="1" applyFont="1" applyFill="1" applyBorder="1" applyAlignment="1">
      <alignment horizontal="center" vertical="center"/>
    </xf>
    <xf numFmtId="38" fontId="0" fillId="0" borderId="5" xfId="1" applyFont="1" applyBorder="1" applyAlignment="1">
      <alignment horizontal="center" vertical="center"/>
    </xf>
    <xf numFmtId="38" fontId="0" fillId="0" borderId="1" xfId="1" applyFont="1" applyBorder="1">
      <alignment vertical="center"/>
    </xf>
    <xf numFmtId="38" fontId="0" fillId="0" borderId="3" xfId="1" applyFont="1" applyBorder="1">
      <alignment vertical="center"/>
    </xf>
    <xf numFmtId="38" fontId="0" fillId="0" borderId="6" xfId="1" applyFont="1" applyBorder="1">
      <alignment vertical="center"/>
    </xf>
    <xf numFmtId="38" fontId="0" fillId="0" borderId="4" xfId="1" applyFont="1" applyBorder="1">
      <alignment vertical="center"/>
    </xf>
    <xf numFmtId="38" fontId="0" fillId="0" borderId="0" xfId="1" applyFont="1">
      <alignment vertical="center"/>
    </xf>
    <xf numFmtId="38" fontId="0" fillId="3" borderId="0" xfId="1" applyFont="1" applyFill="1">
      <alignment vertical="center"/>
    </xf>
    <xf numFmtId="38" fontId="0" fillId="2" borderId="0" xfId="1" applyFont="1" applyFill="1">
      <alignment vertical="center"/>
    </xf>
    <xf numFmtId="38" fontId="17" fillId="2" borderId="0" xfId="1" applyFont="1" applyFill="1">
      <alignment vertical="center"/>
    </xf>
    <xf numFmtId="9" fontId="27" fillId="0" borderId="1" xfId="3" applyFont="1" applyBorder="1" applyAlignment="1">
      <alignment vertical="center" shrinkToFit="1"/>
    </xf>
    <xf numFmtId="9" fontId="31" fillId="0" borderId="1" xfId="3" applyFont="1" applyBorder="1" applyAlignment="1">
      <alignment vertical="center" shrinkToFit="1"/>
    </xf>
    <xf numFmtId="178" fontId="14" fillId="0" borderId="1" xfId="1" applyNumberFormat="1" applyFont="1" applyFill="1" applyBorder="1" applyAlignment="1">
      <alignment horizontal="center" vertical="center"/>
    </xf>
    <xf numFmtId="177" fontId="23" fillId="0" borderId="1" xfId="1" quotePrefix="1" applyNumberFormat="1" applyFont="1" applyBorder="1" applyAlignment="1">
      <alignment horizontal="center" vertical="center"/>
    </xf>
    <xf numFmtId="38" fontId="14" fillId="0" borderId="1" xfId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6" fillId="0" borderId="1" xfId="1" quotePrefix="1" applyNumberFormat="1" applyFont="1" applyBorder="1" applyAlignment="1">
      <alignment horizontal="center" vertical="center"/>
    </xf>
    <xf numFmtId="0" fontId="23" fillId="0" borderId="1" xfId="1" quotePrefix="1" applyNumberFormat="1" applyFont="1" applyBorder="1" applyAlignment="1">
      <alignment horizontal="center" vertical="center"/>
    </xf>
    <xf numFmtId="176" fontId="23" fillId="0" borderId="1" xfId="1" quotePrefix="1" applyNumberFormat="1" applyFont="1" applyBorder="1" applyAlignment="1">
      <alignment horizontal="center" vertical="center"/>
    </xf>
    <xf numFmtId="176" fontId="26" fillId="0" borderId="1" xfId="1" quotePrefix="1" applyNumberFormat="1" applyFont="1" applyBorder="1" applyAlignment="1">
      <alignment horizontal="center" vertical="center"/>
    </xf>
    <xf numFmtId="177" fontId="14" fillId="0" borderId="1" xfId="1" quotePrefix="1" applyNumberFormat="1" applyFont="1" applyBorder="1" applyAlignment="1">
      <alignment horizontal="center" vertical="center"/>
    </xf>
    <xf numFmtId="38" fontId="14" fillId="0" borderId="1" xfId="1" quotePrefix="1" applyFont="1" applyBorder="1" applyAlignment="1">
      <alignment horizontal="center" vertical="center"/>
    </xf>
    <xf numFmtId="0" fontId="14" fillId="0" borderId="1" xfId="1" quotePrefix="1" applyNumberFormat="1" applyFont="1" applyBorder="1" applyAlignment="1">
      <alignment horizontal="center" vertical="center"/>
    </xf>
    <xf numFmtId="176" fontId="14" fillId="0" borderId="1" xfId="1" quotePrefix="1" applyNumberFormat="1" applyFont="1" applyBorder="1" applyAlignment="1">
      <alignment horizontal="center" vertical="center"/>
    </xf>
    <xf numFmtId="176" fontId="24" fillId="0" borderId="1" xfId="1" quotePrefix="1" applyNumberFormat="1" applyFont="1" applyBorder="1" applyAlignment="1">
      <alignment horizontal="center" vertical="center"/>
    </xf>
    <xf numFmtId="0" fontId="36" fillId="0" borderId="0" xfId="2" applyFont="1" applyAlignment="1">
      <alignment horizontal="center" vertical="center"/>
    </xf>
    <xf numFmtId="38" fontId="18" fillId="0" borderId="0" xfId="1" applyFont="1" applyAlignment="1">
      <alignment vertical="center" shrinkToFit="1"/>
    </xf>
    <xf numFmtId="38" fontId="16" fillId="0" borderId="0" xfId="1" applyFont="1" applyAlignment="1">
      <alignment vertical="center" shrinkToFit="1"/>
    </xf>
    <xf numFmtId="38" fontId="19" fillId="0" borderId="0" xfId="1" applyFont="1" applyAlignment="1">
      <alignment horizontal="center" vertical="center" shrinkToFit="1"/>
    </xf>
    <xf numFmtId="38" fontId="32" fillId="0" borderId="0" xfId="1" applyFont="1" applyAlignment="1">
      <alignment horizontal="center" vertical="center" shrinkToFit="1"/>
    </xf>
    <xf numFmtId="38" fontId="33" fillId="0" borderId="0" xfId="1" applyFont="1" applyAlignment="1">
      <alignment horizontal="center" vertical="center" shrinkToFit="1"/>
    </xf>
    <xf numFmtId="38" fontId="35" fillId="0" borderId="0" xfId="1" applyFont="1" applyAlignment="1">
      <alignment horizontal="center" vertical="center" shrinkToFit="1"/>
    </xf>
    <xf numFmtId="177" fontId="23" fillId="0" borderId="1" xfId="1" quotePrefix="1" applyNumberFormat="1" applyFont="1" applyBorder="1" applyAlignment="1">
      <alignment horizontal="center" vertical="center" shrinkToFit="1"/>
    </xf>
    <xf numFmtId="38" fontId="14" fillId="0" borderId="1" xfId="1" applyFont="1" applyBorder="1" applyAlignment="1">
      <alignment horizontal="center" vertical="center" shrinkToFit="1"/>
    </xf>
    <xf numFmtId="38" fontId="24" fillId="0" borderId="1" xfId="1" applyFont="1" applyBorder="1" applyAlignment="1">
      <alignment horizontal="center" vertical="center" shrinkToFit="1"/>
    </xf>
    <xf numFmtId="38" fontId="15" fillId="0" borderId="1" xfId="1" applyFont="1" applyBorder="1" applyAlignment="1">
      <alignment vertical="center" shrinkToFit="1"/>
    </xf>
    <xf numFmtId="38" fontId="25" fillId="0" borderId="1" xfId="1" applyFont="1" applyBorder="1" applyAlignment="1">
      <alignment vertical="center" shrinkToFit="1"/>
    </xf>
    <xf numFmtId="38" fontId="28" fillId="0" borderId="0" xfId="1" applyFont="1" applyAlignment="1">
      <alignment vertical="top" shrinkToFit="1"/>
    </xf>
    <xf numFmtId="38" fontId="29" fillId="0" borderId="0" xfId="1" applyFont="1" applyAlignment="1">
      <alignment horizontal="center" vertical="top" shrinkToFit="1"/>
    </xf>
    <xf numFmtId="38" fontId="29" fillId="0" borderId="0" xfId="1" applyFont="1" applyAlignment="1">
      <alignment vertical="top" shrinkToFit="1"/>
    </xf>
    <xf numFmtId="38" fontId="30" fillId="0" borderId="0" xfId="1" applyFont="1" applyBorder="1" applyAlignment="1">
      <alignment horizontal="center" vertical="top" shrinkToFit="1"/>
    </xf>
    <xf numFmtId="177" fontId="14" fillId="0" borderId="1" xfId="1" quotePrefix="1" applyNumberFormat="1" applyFont="1" applyBorder="1" applyAlignment="1">
      <alignment horizontal="center" vertical="center" shrinkToFit="1"/>
    </xf>
    <xf numFmtId="0" fontId="36" fillId="0" borderId="0" xfId="2" applyFont="1" applyAlignment="1">
      <alignment horizontal="center" vertical="center" shrinkToFit="1"/>
    </xf>
    <xf numFmtId="0" fontId="32" fillId="0" borderId="0" xfId="0" applyFont="1" applyAlignment="1">
      <alignment horizontal="center" vertical="center" shrinkToFit="1"/>
    </xf>
    <xf numFmtId="38" fontId="14" fillId="0" borderId="1" xfId="1" quotePrefix="1" applyFont="1" applyBorder="1" applyAlignment="1">
      <alignment horizontal="center" vertical="center" shrinkToFit="1"/>
    </xf>
    <xf numFmtId="38" fontId="24" fillId="0" borderId="1" xfId="1" quotePrefix="1" applyFont="1" applyBorder="1" applyAlignment="1">
      <alignment horizontal="center" vertical="center" shrinkToFit="1"/>
    </xf>
    <xf numFmtId="0" fontId="1" fillId="0" borderId="0" xfId="41">
      <alignment vertical="center"/>
    </xf>
    <xf numFmtId="38" fontId="16" fillId="0" borderId="2" xfId="42" applyFont="1" applyBorder="1" applyAlignment="1">
      <alignment horizontal="center" vertical="center"/>
    </xf>
    <xf numFmtId="38" fontId="16" fillId="0" borderId="2" xfId="42" quotePrefix="1" applyFont="1" applyBorder="1" applyAlignment="1">
      <alignment horizontal="center" vertical="center"/>
    </xf>
    <xf numFmtId="38" fontId="11" fillId="0" borderId="2" xfId="42" quotePrefix="1" applyFont="1" applyBorder="1" applyAlignment="1">
      <alignment horizontal="center" vertical="center"/>
    </xf>
    <xf numFmtId="38" fontId="11" fillId="0" borderId="2" xfId="42" applyFont="1" applyBorder="1" applyAlignment="1">
      <alignment horizontal="center" vertical="center"/>
    </xf>
    <xf numFmtId="38" fontId="11" fillId="0" borderId="12" xfId="42" applyFont="1" applyBorder="1" applyAlignment="1">
      <alignment horizontal="center" vertical="center"/>
    </xf>
    <xf numFmtId="38" fontId="16" fillId="0" borderId="1" xfId="42" applyFont="1" applyBorder="1">
      <alignment vertical="center"/>
    </xf>
    <xf numFmtId="38" fontId="11" fillId="0" borderId="1" xfId="42" applyFont="1" applyBorder="1">
      <alignment vertical="center"/>
    </xf>
    <xf numFmtId="38" fontId="16" fillId="0" borderId="0" xfId="42" applyFont="1" applyBorder="1">
      <alignment vertical="center"/>
    </xf>
    <xf numFmtId="38" fontId="16" fillId="0" borderId="11" xfId="42" applyFont="1" applyBorder="1">
      <alignment vertical="center"/>
    </xf>
    <xf numFmtId="177" fontId="16" fillId="0" borderId="22" xfId="42" quotePrefix="1" applyNumberFormat="1" applyFont="1" applyBorder="1" applyAlignment="1">
      <alignment horizontal="center" vertical="center"/>
    </xf>
    <xf numFmtId="38" fontId="16" fillId="0" borderId="23" xfId="42" applyFont="1" applyBorder="1">
      <alignment vertical="center"/>
    </xf>
    <xf numFmtId="38" fontId="11" fillId="0" borderId="23" xfId="42" applyFont="1" applyBorder="1">
      <alignment vertical="center"/>
    </xf>
    <xf numFmtId="38" fontId="16" fillId="0" borderId="24" xfId="42" applyFont="1" applyBorder="1">
      <alignment vertical="center"/>
    </xf>
    <xf numFmtId="0" fontId="1" fillId="0" borderId="6" xfId="41" applyBorder="1">
      <alignment vertical="center"/>
    </xf>
    <xf numFmtId="38" fontId="1" fillId="5" borderId="0" xfId="42" applyFont="1" applyFill="1" applyBorder="1">
      <alignment vertical="center"/>
    </xf>
  </cellXfs>
  <cellStyles count="55">
    <cellStyle name="20% - アクセント 1" xfId="24" builtinId="30" customBuiltin="1"/>
    <cellStyle name="20% - アクセント 2" xfId="27" builtinId="34" customBuiltin="1"/>
    <cellStyle name="20% - アクセント 3" xfId="30" builtinId="38" customBuiltin="1"/>
    <cellStyle name="20% - アクセント 4" xfId="33" builtinId="42" customBuiltin="1"/>
    <cellStyle name="20% - アクセント 5" xfId="36" builtinId="46" customBuiltin="1"/>
    <cellStyle name="20% - アクセント 6" xfId="39" builtinId="50" customBuiltin="1"/>
    <cellStyle name="40% - アクセント 1" xfId="25" builtinId="31" customBuiltin="1"/>
    <cellStyle name="40% - アクセント 2" xfId="28" builtinId="35" customBuiltin="1"/>
    <cellStyle name="40% - アクセント 3" xfId="31" builtinId="39" customBuiltin="1"/>
    <cellStyle name="40% - アクセント 4" xfId="34" builtinId="43" customBuiltin="1"/>
    <cellStyle name="40% - アクセント 5" xfId="37" builtinId="47" customBuiltin="1"/>
    <cellStyle name="40% - アクセント 6" xfId="40" builtinId="51" customBuiltin="1"/>
    <cellStyle name="60% - アクセント 1 2" xfId="46" xr:uid="{EDA44550-444A-4344-B5C9-2F23C437CA0B}"/>
    <cellStyle name="60% - アクセント 2 2" xfId="47" xr:uid="{F59FE4DD-6FDC-4B34-B739-5F1C426D08E5}"/>
    <cellStyle name="60% - アクセント 3 2" xfId="48" xr:uid="{B5C133C5-CE3F-4769-8195-F25438B63245}"/>
    <cellStyle name="60% - アクセント 4 2" xfId="49" xr:uid="{62439005-BF5B-48C4-8D89-EB7419063AE4}"/>
    <cellStyle name="60% - アクセント 5 2" xfId="50" xr:uid="{88E16D8A-63A5-49AB-8D59-165C91EE9A82}"/>
    <cellStyle name="60% - アクセント 6 2" xfId="51" xr:uid="{0E3B9374-4A87-45FC-A531-D5090C7EB09E}"/>
    <cellStyle name="アクセント 1" xfId="23" builtinId="29" customBuiltin="1"/>
    <cellStyle name="アクセント 2" xfId="26" builtinId="33" customBuiltin="1"/>
    <cellStyle name="アクセント 3" xfId="29" builtinId="37" customBuiltin="1"/>
    <cellStyle name="アクセント 4" xfId="32" builtinId="41" customBuiltin="1"/>
    <cellStyle name="アクセント 5" xfId="35" builtinId="45" customBuiltin="1"/>
    <cellStyle name="アクセント 6" xfId="38" builtinId="49" customBuiltin="1"/>
    <cellStyle name="タイトル" xfId="8" builtinId="15" customBuiltin="1"/>
    <cellStyle name="チェック セル" xfId="19" builtinId="23" customBuiltin="1"/>
    <cellStyle name="どちらでもない 2" xfId="44" xr:uid="{D17CB0DB-1002-4804-9FF1-70BF8531476D}"/>
    <cellStyle name="パーセント" xfId="3" builtinId="5"/>
    <cellStyle name="パーセント 2" xfId="43" xr:uid="{3B04315B-0F8C-4640-AD8F-FF3485AF0749}"/>
    <cellStyle name="メモ 2" xfId="45" xr:uid="{71E3A389-81F4-4FC8-82DA-2C1C049F4C17}"/>
    <cellStyle name="リンク セル" xfId="18" builtinId="24" customBuiltin="1"/>
    <cellStyle name="悪い" xfId="14" builtinId="27" customBuiltin="1"/>
    <cellStyle name="計算" xfId="17" builtinId="22" customBuiltin="1"/>
    <cellStyle name="警告文" xfId="20" builtinId="11" customBuiltin="1"/>
    <cellStyle name="桁区切り" xfId="1" builtinId="6"/>
    <cellStyle name="桁区切り 2" xfId="53" xr:uid="{EAB6DE7D-BBCA-4915-AB81-00736014CE48}"/>
    <cellStyle name="桁区切り 3" xfId="42" xr:uid="{5DA2BE24-7054-4AFE-870A-27CFA75B930C}"/>
    <cellStyle name="桁区切り 4" xfId="5" xr:uid="{00000000-0005-0000-0000-000002000000}"/>
    <cellStyle name="桁区切り 4 2" xfId="7" xr:uid="{00000000-0005-0000-0000-000003000000}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集計" xfId="22" builtinId="25" customBuiltin="1"/>
    <cellStyle name="出力" xfId="16" builtinId="21" customBuiltin="1"/>
    <cellStyle name="説明文" xfId="21" builtinId="53" customBuiltin="1"/>
    <cellStyle name="入力" xfId="15" builtinId="20" customBuiltin="1"/>
    <cellStyle name="標準" xfId="0" builtinId="0"/>
    <cellStyle name="標準 2" xfId="54" xr:uid="{B526F6C3-8AFE-4941-BA10-EBD1A14DBB73}"/>
    <cellStyle name="標準 3" xfId="2" xr:uid="{00000000-0005-0000-0000-000005000000}"/>
    <cellStyle name="標準 3 2" xfId="52" xr:uid="{192A0CEC-4410-4940-B26C-A262BC4E2C42}"/>
    <cellStyle name="標準 4" xfId="4" xr:uid="{00000000-0005-0000-0000-000006000000}"/>
    <cellStyle name="標準 4 2" xfId="6" xr:uid="{00000000-0005-0000-0000-000007000000}"/>
    <cellStyle name="標準 5" xfId="41" xr:uid="{2365D050-FA9B-48EB-9859-E54DF63E1991}"/>
    <cellStyle name="良い" xfId="13" builtinId="26" customBuiltin="1"/>
  </cellStyles>
  <dxfs count="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932487701206719E-2"/>
          <c:y val="6.9283432116112251E-2"/>
          <c:w val="0.90914753297247319"/>
          <c:h val="0.873768670568143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さといも!$A$36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さといも!$B$35:$AR$35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さといも!$B$36:$AR$36</c:f>
              <c:numCache>
                <c:formatCode>#,##0_);[Red]\(#,##0\)</c:formatCode>
                <c:ptCount val="43"/>
                <c:pt idx="0">
                  <c:v>4.2930000000000001</c:v>
                </c:pt>
                <c:pt idx="1">
                  <c:v>4.2510000000000003</c:v>
                </c:pt>
                <c:pt idx="2">
                  <c:v>3.4279999999999999</c:v>
                </c:pt>
                <c:pt idx="3">
                  <c:v>2.7109999999999999</c:v>
                </c:pt>
                <c:pt idx="4">
                  <c:v>2.5870000000000002</c:v>
                </c:pt>
                <c:pt idx="5">
                  <c:v>6.1219999999999999</c:v>
                </c:pt>
                <c:pt idx="6">
                  <c:v>3.6709999999999998</c:v>
                </c:pt>
                <c:pt idx="7">
                  <c:v>5.5949999999999998</c:v>
                </c:pt>
                <c:pt idx="8">
                  <c:v>2.3460000000000001</c:v>
                </c:pt>
                <c:pt idx="9">
                  <c:v>3.7290000000000001</c:v>
                </c:pt>
                <c:pt idx="10">
                  <c:v>3.8679999999999999</c:v>
                </c:pt>
                <c:pt idx="11">
                  <c:v>3.0680000000000001</c:v>
                </c:pt>
                <c:pt idx="12">
                  <c:v>2.9910000000000001</c:v>
                </c:pt>
                <c:pt idx="13">
                  <c:v>2.42</c:v>
                </c:pt>
                <c:pt idx="14">
                  <c:v>2.419</c:v>
                </c:pt>
                <c:pt idx="15">
                  <c:v>1.7050000000000001</c:v>
                </c:pt>
                <c:pt idx="16">
                  <c:v>2.5609999999999999</c:v>
                </c:pt>
                <c:pt idx="17">
                  <c:v>3.6669999999999998</c:v>
                </c:pt>
                <c:pt idx="18">
                  <c:v>2.859</c:v>
                </c:pt>
                <c:pt idx="19">
                  <c:v>3.093</c:v>
                </c:pt>
                <c:pt idx="20">
                  <c:v>2.573</c:v>
                </c:pt>
                <c:pt idx="21">
                  <c:v>1.5920000000000001</c:v>
                </c:pt>
                <c:pt idx="22">
                  <c:v>3.758</c:v>
                </c:pt>
                <c:pt idx="23">
                  <c:v>2.7490000000000001</c:v>
                </c:pt>
                <c:pt idx="24">
                  <c:v>2.69</c:v>
                </c:pt>
                <c:pt idx="25">
                  <c:v>3.8519999999999999</c:v>
                </c:pt>
                <c:pt idx="26">
                  <c:v>3.165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2-445A-9F4B-69DBD904D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さといも!$A$37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さといも!$B$35:$AR$35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さといも!$B$37:$AR$37</c:f>
              <c:numCache>
                <c:formatCode>#,##0_);[Red]\(#,##0\)</c:formatCode>
                <c:ptCount val="43"/>
                <c:pt idx="0">
                  <c:v>497</c:v>
                </c:pt>
                <c:pt idx="1">
                  <c:v>534</c:v>
                </c:pt>
                <c:pt idx="2">
                  <c:v>525</c:v>
                </c:pt>
                <c:pt idx="3">
                  <c:v>450</c:v>
                </c:pt>
                <c:pt idx="4">
                  <c:v>506</c:v>
                </c:pt>
                <c:pt idx="5">
                  <c:v>554</c:v>
                </c:pt>
                <c:pt idx="6">
                  <c:v>560</c:v>
                </c:pt>
                <c:pt idx="7">
                  <c:v>544</c:v>
                </c:pt>
                <c:pt idx="8">
                  <c:v>548</c:v>
                </c:pt>
                <c:pt idx="9">
                  <c:v>598</c:v>
                </c:pt>
                <c:pt idx="10">
                  <c:v>611</c:v>
                </c:pt>
                <c:pt idx="11">
                  <c:v>539</c:v>
                </c:pt>
                <c:pt idx="12">
                  <c:v>528</c:v>
                </c:pt>
                <c:pt idx="13">
                  <c:v>526</c:v>
                </c:pt>
                <c:pt idx="14">
                  <c:v>643</c:v>
                </c:pt>
                <c:pt idx="15">
                  <c:v>636</c:v>
                </c:pt>
                <c:pt idx="16">
                  <c:v>545</c:v>
                </c:pt>
                <c:pt idx="17">
                  <c:v>656</c:v>
                </c:pt>
                <c:pt idx="18">
                  <c:v>667</c:v>
                </c:pt>
                <c:pt idx="19">
                  <c:v>670</c:v>
                </c:pt>
                <c:pt idx="20">
                  <c:v>659</c:v>
                </c:pt>
                <c:pt idx="21">
                  <c:v>657</c:v>
                </c:pt>
                <c:pt idx="22">
                  <c:v>698</c:v>
                </c:pt>
                <c:pt idx="23">
                  <c:v>718</c:v>
                </c:pt>
                <c:pt idx="24">
                  <c:v>694</c:v>
                </c:pt>
                <c:pt idx="25">
                  <c:v>673</c:v>
                </c:pt>
                <c:pt idx="26">
                  <c:v>578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02-445A-9F4B-69DBD904D831}"/>
            </c:ext>
          </c:extLst>
        </c:ser>
        <c:ser>
          <c:idx val="2"/>
          <c:order val="2"/>
          <c:tx>
            <c:strRef>
              <c:f>さといも!$A$38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さといも!$B$35:$AR$35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さといも!$B$38:$AR$38</c:f>
              <c:numCache>
                <c:formatCode>#,##0_);[Red]\(#,##0\)</c:formatCode>
                <c:ptCount val="43"/>
                <c:pt idx="0">
                  <c:v>571</c:v>
                </c:pt>
                <c:pt idx="1">
                  <c:v>571</c:v>
                </c:pt>
                <c:pt idx="2">
                  <c:v>571</c:v>
                </c:pt>
                <c:pt idx="3">
                  <c:v>571</c:v>
                </c:pt>
                <c:pt idx="4">
                  <c:v>571</c:v>
                </c:pt>
                <c:pt idx="5">
                  <c:v>571</c:v>
                </c:pt>
                <c:pt idx="6">
                  <c:v>571</c:v>
                </c:pt>
                <c:pt idx="7">
                  <c:v>621</c:v>
                </c:pt>
                <c:pt idx="8">
                  <c:v>621</c:v>
                </c:pt>
                <c:pt idx="9">
                  <c:v>621</c:v>
                </c:pt>
                <c:pt idx="10">
                  <c:v>621</c:v>
                </c:pt>
                <c:pt idx="11">
                  <c:v>621</c:v>
                </c:pt>
                <c:pt idx="12">
                  <c:v>621</c:v>
                </c:pt>
                <c:pt idx="13">
                  <c:v>621</c:v>
                </c:pt>
                <c:pt idx="14">
                  <c:v>621</c:v>
                </c:pt>
                <c:pt idx="15">
                  <c:v>556</c:v>
                </c:pt>
                <c:pt idx="16">
                  <c:v>556</c:v>
                </c:pt>
                <c:pt idx="17">
                  <c:v>556</c:v>
                </c:pt>
                <c:pt idx="18">
                  <c:v>556</c:v>
                </c:pt>
                <c:pt idx="19">
                  <c:v>556</c:v>
                </c:pt>
                <c:pt idx="20">
                  <c:v>556</c:v>
                </c:pt>
                <c:pt idx="21">
                  <c:v>556</c:v>
                </c:pt>
                <c:pt idx="22">
                  <c:v>513</c:v>
                </c:pt>
                <c:pt idx="23">
                  <c:v>513</c:v>
                </c:pt>
                <c:pt idx="24">
                  <c:v>513</c:v>
                </c:pt>
                <c:pt idx="25">
                  <c:v>513</c:v>
                </c:pt>
                <c:pt idx="26">
                  <c:v>513</c:v>
                </c:pt>
                <c:pt idx="27">
                  <c:v>513</c:v>
                </c:pt>
                <c:pt idx="28">
                  <c:v>513</c:v>
                </c:pt>
                <c:pt idx="29">
                  <c:v>420</c:v>
                </c:pt>
                <c:pt idx="30">
                  <c:v>420</c:v>
                </c:pt>
                <c:pt idx="31">
                  <c:v>420</c:v>
                </c:pt>
                <c:pt idx="32">
                  <c:v>420</c:v>
                </c:pt>
                <c:pt idx="33">
                  <c:v>420</c:v>
                </c:pt>
                <c:pt idx="34">
                  <c:v>420</c:v>
                </c:pt>
                <c:pt idx="35">
                  <c:v>441</c:v>
                </c:pt>
                <c:pt idx="36">
                  <c:v>441</c:v>
                </c:pt>
                <c:pt idx="37">
                  <c:v>441</c:v>
                </c:pt>
                <c:pt idx="38">
                  <c:v>441</c:v>
                </c:pt>
                <c:pt idx="39">
                  <c:v>441</c:v>
                </c:pt>
                <c:pt idx="40">
                  <c:v>441</c:v>
                </c:pt>
                <c:pt idx="41">
                  <c:v>441</c:v>
                </c:pt>
                <c:pt idx="42">
                  <c:v>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2-445A-9F4B-69DBD904D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058047"/>
        <c:axId val="1"/>
      </c:lineChart>
      <c:catAx>
        <c:axId val="6090580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609058047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370957141990211"/>
          <c:y val="2.0660546370564058E-3"/>
          <c:w val="0.27059633025429902"/>
          <c:h val="6.709988450555647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958775293755426E-2"/>
          <c:y val="7.4912551138805239E-2"/>
          <c:w val="0.90741073788048154"/>
          <c:h val="0.87085195336806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さといも!$A$76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さといも!$B$75:$AR$75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さといも!$B$76:$AR$76</c:f>
              <c:numCache>
                <c:formatCode>#,##0_);[Red]\(#,##0\)</c:formatCode>
                <c:ptCount val="43"/>
                <c:pt idx="0">
                  <c:v>1.946</c:v>
                </c:pt>
                <c:pt idx="1">
                  <c:v>2.5840000000000001</c:v>
                </c:pt>
                <c:pt idx="2">
                  <c:v>1.8720000000000001</c:v>
                </c:pt>
                <c:pt idx="3">
                  <c:v>0.92300000000000004</c:v>
                </c:pt>
                <c:pt idx="4">
                  <c:v>1.615</c:v>
                </c:pt>
                <c:pt idx="5">
                  <c:v>3.9689999999999999</c:v>
                </c:pt>
                <c:pt idx="6">
                  <c:v>2.8330000000000002</c:v>
                </c:pt>
                <c:pt idx="7">
                  <c:v>1.944</c:v>
                </c:pt>
                <c:pt idx="8">
                  <c:v>1.3089999999999999</c:v>
                </c:pt>
                <c:pt idx="9">
                  <c:v>1.8919999999999999</c:v>
                </c:pt>
                <c:pt idx="10">
                  <c:v>2.508</c:v>
                </c:pt>
                <c:pt idx="11">
                  <c:v>1.2270000000000001</c:v>
                </c:pt>
                <c:pt idx="12">
                  <c:v>1.325</c:v>
                </c:pt>
                <c:pt idx="13">
                  <c:v>1.7929999999999999</c:v>
                </c:pt>
                <c:pt idx="14">
                  <c:v>2.1800000000000002</c:v>
                </c:pt>
                <c:pt idx="15">
                  <c:v>1.7749999999999999</c:v>
                </c:pt>
                <c:pt idx="16">
                  <c:v>1.877</c:v>
                </c:pt>
                <c:pt idx="17">
                  <c:v>2.629</c:v>
                </c:pt>
                <c:pt idx="18">
                  <c:v>2.907</c:v>
                </c:pt>
                <c:pt idx="19">
                  <c:v>3.044</c:v>
                </c:pt>
                <c:pt idx="20">
                  <c:v>1.98</c:v>
                </c:pt>
                <c:pt idx="21">
                  <c:v>1.619</c:v>
                </c:pt>
                <c:pt idx="22">
                  <c:v>3.2450000000000001</c:v>
                </c:pt>
                <c:pt idx="23">
                  <c:v>2.593</c:v>
                </c:pt>
                <c:pt idx="24">
                  <c:v>2.343</c:v>
                </c:pt>
                <c:pt idx="25">
                  <c:v>2.992</c:v>
                </c:pt>
                <c:pt idx="26">
                  <c:v>3.9039999999999999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0-46B0-A048-AB4D7BA55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さといも!$A$77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さといも!$B$75:$AR$75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さといも!$B$77:$AR$77</c:f>
              <c:numCache>
                <c:formatCode>#,##0_);[Red]\(#,##0\)</c:formatCode>
                <c:ptCount val="43"/>
                <c:pt idx="0">
                  <c:v>599</c:v>
                </c:pt>
                <c:pt idx="1">
                  <c:v>546</c:v>
                </c:pt>
                <c:pt idx="2">
                  <c:v>450</c:v>
                </c:pt>
                <c:pt idx="3">
                  <c:v>490</c:v>
                </c:pt>
                <c:pt idx="4">
                  <c:v>610</c:v>
                </c:pt>
                <c:pt idx="5">
                  <c:v>600</c:v>
                </c:pt>
                <c:pt idx="6">
                  <c:v>432</c:v>
                </c:pt>
                <c:pt idx="7">
                  <c:v>586</c:v>
                </c:pt>
                <c:pt idx="8">
                  <c:v>548</c:v>
                </c:pt>
                <c:pt idx="9">
                  <c:v>622</c:v>
                </c:pt>
                <c:pt idx="10">
                  <c:v>567</c:v>
                </c:pt>
                <c:pt idx="11">
                  <c:v>472</c:v>
                </c:pt>
                <c:pt idx="12">
                  <c:v>481</c:v>
                </c:pt>
                <c:pt idx="13">
                  <c:v>605</c:v>
                </c:pt>
                <c:pt idx="14">
                  <c:v>550</c:v>
                </c:pt>
                <c:pt idx="15">
                  <c:v>526</c:v>
                </c:pt>
                <c:pt idx="16">
                  <c:v>517</c:v>
                </c:pt>
                <c:pt idx="17">
                  <c:v>514</c:v>
                </c:pt>
                <c:pt idx="18">
                  <c:v>586</c:v>
                </c:pt>
                <c:pt idx="19">
                  <c:v>473</c:v>
                </c:pt>
                <c:pt idx="20">
                  <c:v>635</c:v>
                </c:pt>
                <c:pt idx="21">
                  <c:v>552</c:v>
                </c:pt>
                <c:pt idx="22">
                  <c:v>608</c:v>
                </c:pt>
                <c:pt idx="23">
                  <c:v>553</c:v>
                </c:pt>
                <c:pt idx="24">
                  <c:v>572</c:v>
                </c:pt>
                <c:pt idx="25">
                  <c:v>543</c:v>
                </c:pt>
                <c:pt idx="26">
                  <c:v>445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70-46B0-A048-AB4D7BA55CBB}"/>
            </c:ext>
          </c:extLst>
        </c:ser>
        <c:ser>
          <c:idx val="2"/>
          <c:order val="2"/>
          <c:tx>
            <c:strRef>
              <c:f>さといも!$A$78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さといも!$B$75:$AR$75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さといも!$B$78:$AR$78</c:f>
              <c:numCache>
                <c:formatCode>#,##0_);[Red]\(#,##0\)</c:formatCode>
                <c:ptCount val="43"/>
                <c:pt idx="0">
                  <c:v>545</c:v>
                </c:pt>
                <c:pt idx="1">
                  <c:v>545</c:v>
                </c:pt>
                <c:pt idx="2">
                  <c:v>545</c:v>
                </c:pt>
                <c:pt idx="3">
                  <c:v>545</c:v>
                </c:pt>
                <c:pt idx="4">
                  <c:v>545</c:v>
                </c:pt>
                <c:pt idx="5">
                  <c:v>545</c:v>
                </c:pt>
                <c:pt idx="6">
                  <c:v>545</c:v>
                </c:pt>
                <c:pt idx="7">
                  <c:v>539</c:v>
                </c:pt>
                <c:pt idx="8">
                  <c:v>539</c:v>
                </c:pt>
                <c:pt idx="9">
                  <c:v>539</c:v>
                </c:pt>
                <c:pt idx="10">
                  <c:v>539</c:v>
                </c:pt>
                <c:pt idx="11">
                  <c:v>539</c:v>
                </c:pt>
                <c:pt idx="12">
                  <c:v>539</c:v>
                </c:pt>
                <c:pt idx="13">
                  <c:v>539</c:v>
                </c:pt>
                <c:pt idx="14">
                  <c:v>539</c:v>
                </c:pt>
                <c:pt idx="15">
                  <c:v>481</c:v>
                </c:pt>
                <c:pt idx="16">
                  <c:v>481</c:v>
                </c:pt>
                <c:pt idx="17">
                  <c:v>481</c:v>
                </c:pt>
                <c:pt idx="18">
                  <c:v>481</c:v>
                </c:pt>
                <c:pt idx="19">
                  <c:v>481</c:v>
                </c:pt>
                <c:pt idx="20">
                  <c:v>481</c:v>
                </c:pt>
                <c:pt idx="21">
                  <c:v>481</c:v>
                </c:pt>
                <c:pt idx="22">
                  <c:v>430</c:v>
                </c:pt>
                <c:pt idx="23">
                  <c:v>430</c:v>
                </c:pt>
                <c:pt idx="24">
                  <c:v>430</c:v>
                </c:pt>
                <c:pt idx="25">
                  <c:v>430</c:v>
                </c:pt>
                <c:pt idx="26">
                  <c:v>430</c:v>
                </c:pt>
                <c:pt idx="27">
                  <c:v>430</c:v>
                </c:pt>
                <c:pt idx="28">
                  <c:v>430</c:v>
                </c:pt>
                <c:pt idx="29">
                  <c:v>378</c:v>
                </c:pt>
                <c:pt idx="30">
                  <c:v>378</c:v>
                </c:pt>
                <c:pt idx="31">
                  <c:v>378</c:v>
                </c:pt>
                <c:pt idx="32">
                  <c:v>378</c:v>
                </c:pt>
                <c:pt idx="33">
                  <c:v>378</c:v>
                </c:pt>
                <c:pt idx="34">
                  <c:v>378</c:v>
                </c:pt>
                <c:pt idx="35">
                  <c:v>383</c:v>
                </c:pt>
                <c:pt idx="36">
                  <c:v>383</c:v>
                </c:pt>
                <c:pt idx="37">
                  <c:v>383</c:v>
                </c:pt>
                <c:pt idx="38">
                  <c:v>383</c:v>
                </c:pt>
                <c:pt idx="39">
                  <c:v>383</c:v>
                </c:pt>
                <c:pt idx="40">
                  <c:v>383</c:v>
                </c:pt>
                <c:pt idx="41">
                  <c:v>383</c:v>
                </c:pt>
                <c:pt idx="42">
                  <c:v>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70-46B0-A048-AB4D7BA55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051391"/>
        <c:axId val="1"/>
      </c:lineChart>
      <c:catAx>
        <c:axId val="60905139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60905139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857093931940603"/>
          <c:y val="4.2690137671599062E-3"/>
          <c:w val="0.26862314713238578"/>
          <c:h val="7.4711550163959167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023797510931719E-2"/>
          <c:y val="8.6957095719822602E-2"/>
          <c:w val="0.90980277777777774"/>
          <c:h val="0.86108955969456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さといも!$A$116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さといも!$B$115:$AR$115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さといも!$B$116:$AR$116</c:f>
              <c:numCache>
                <c:formatCode>#,##0_);[Red]\(#,##0\)</c:formatCode>
                <c:ptCount val="43"/>
                <c:pt idx="0">
                  <c:v>0.92200000000000004</c:v>
                </c:pt>
                <c:pt idx="1">
                  <c:v>1.5189999999999999</c:v>
                </c:pt>
                <c:pt idx="2">
                  <c:v>0.46</c:v>
                </c:pt>
                <c:pt idx="3">
                  <c:v>0.80800000000000005</c:v>
                </c:pt>
                <c:pt idx="4">
                  <c:v>0.34</c:v>
                </c:pt>
                <c:pt idx="5">
                  <c:v>1.2050000000000001</c:v>
                </c:pt>
                <c:pt idx="6">
                  <c:v>1.4359999999999999</c:v>
                </c:pt>
                <c:pt idx="7">
                  <c:v>0.86799999999999999</c:v>
                </c:pt>
                <c:pt idx="8">
                  <c:v>0.51200000000000001</c:v>
                </c:pt>
                <c:pt idx="9">
                  <c:v>1</c:v>
                </c:pt>
                <c:pt idx="10">
                  <c:v>1.125</c:v>
                </c:pt>
                <c:pt idx="11">
                  <c:v>1.0309999999999999</c:v>
                </c:pt>
                <c:pt idx="12">
                  <c:v>0.68500000000000005</c:v>
                </c:pt>
                <c:pt idx="13">
                  <c:v>0.98399999999999999</c:v>
                </c:pt>
                <c:pt idx="14">
                  <c:v>0.53500000000000003</c:v>
                </c:pt>
                <c:pt idx="15">
                  <c:v>0.84499999999999997</c:v>
                </c:pt>
                <c:pt idx="16">
                  <c:v>1.373</c:v>
                </c:pt>
                <c:pt idx="17">
                  <c:v>1.2050000000000001</c:v>
                </c:pt>
                <c:pt idx="18">
                  <c:v>0.89100000000000001</c:v>
                </c:pt>
                <c:pt idx="19">
                  <c:v>0.56000000000000005</c:v>
                </c:pt>
                <c:pt idx="20">
                  <c:v>1.1819999999999999</c:v>
                </c:pt>
                <c:pt idx="21">
                  <c:v>0.84699999999999998</c:v>
                </c:pt>
                <c:pt idx="22">
                  <c:v>1.716</c:v>
                </c:pt>
                <c:pt idx="23">
                  <c:v>1.0589999999999999</c:v>
                </c:pt>
                <c:pt idx="24">
                  <c:v>1.3720000000000001</c:v>
                </c:pt>
                <c:pt idx="25">
                  <c:v>1.1870000000000001</c:v>
                </c:pt>
                <c:pt idx="26">
                  <c:v>1.1970000000000001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4-49D5-A4F6-E62E53FA5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さといも!$A$117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さといも!$B$115:$AR$115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さといも!$B$117:$AR$117</c:f>
              <c:numCache>
                <c:formatCode>#,##0_);[Red]\(#,##0\)</c:formatCode>
                <c:ptCount val="43"/>
                <c:pt idx="0">
                  <c:v>532</c:v>
                </c:pt>
                <c:pt idx="1">
                  <c:v>726</c:v>
                </c:pt>
                <c:pt idx="2">
                  <c:v>605</c:v>
                </c:pt>
                <c:pt idx="3">
                  <c:v>438</c:v>
                </c:pt>
                <c:pt idx="4">
                  <c:v>468</c:v>
                </c:pt>
                <c:pt idx="5">
                  <c:v>632</c:v>
                </c:pt>
                <c:pt idx="6">
                  <c:v>596</c:v>
                </c:pt>
                <c:pt idx="7">
                  <c:v>639</c:v>
                </c:pt>
                <c:pt idx="8">
                  <c:v>437</c:v>
                </c:pt>
                <c:pt idx="9">
                  <c:v>506</c:v>
                </c:pt>
                <c:pt idx="10">
                  <c:v>597</c:v>
                </c:pt>
                <c:pt idx="11">
                  <c:v>624</c:v>
                </c:pt>
                <c:pt idx="12">
                  <c:v>572</c:v>
                </c:pt>
                <c:pt idx="13">
                  <c:v>618</c:v>
                </c:pt>
                <c:pt idx="14">
                  <c:v>437</c:v>
                </c:pt>
                <c:pt idx="15">
                  <c:v>735</c:v>
                </c:pt>
                <c:pt idx="16">
                  <c:v>589</c:v>
                </c:pt>
                <c:pt idx="17">
                  <c:v>597</c:v>
                </c:pt>
                <c:pt idx="18">
                  <c:v>705</c:v>
                </c:pt>
                <c:pt idx="19">
                  <c:v>535</c:v>
                </c:pt>
                <c:pt idx="20">
                  <c:v>698</c:v>
                </c:pt>
                <c:pt idx="21">
                  <c:v>393</c:v>
                </c:pt>
                <c:pt idx="22">
                  <c:v>693</c:v>
                </c:pt>
                <c:pt idx="23">
                  <c:v>610</c:v>
                </c:pt>
                <c:pt idx="24">
                  <c:v>535</c:v>
                </c:pt>
                <c:pt idx="25">
                  <c:v>635</c:v>
                </c:pt>
                <c:pt idx="26">
                  <c:v>536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64-49D5-A4F6-E62E53FA510C}"/>
            </c:ext>
          </c:extLst>
        </c:ser>
        <c:ser>
          <c:idx val="2"/>
          <c:order val="2"/>
          <c:tx>
            <c:strRef>
              <c:f>さといも!$A$118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さといも!$B$115:$AR$115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さといも!$B$118:$AR$118</c:f>
              <c:numCache>
                <c:formatCode>#,##0_);[Red]\(#,##0\)</c:formatCode>
                <c:ptCount val="43"/>
                <c:pt idx="0">
                  <c:v>684</c:v>
                </c:pt>
                <c:pt idx="1">
                  <c:v>684</c:v>
                </c:pt>
                <c:pt idx="2">
                  <c:v>684</c:v>
                </c:pt>
                <c:pt idx="3">
                  <c:v>684</c:v>
                </c:pt>
                <c:pt idx="4">
                  <c:v>684</c:v>
                </c:pt>
                <c:pt idx="5">
                  <c:v>684</c:v>
                </c:pt>
                <c:pt idx="6">
                  <c:v>684</c:v>
                </c:pt>
                <c:pt idx="7">
                  <c:v>644</c:v>
                </c:pt>
                <c:pt idx="8">
                  <c:v>644</c:v>
                </c:pt>
                <c:pt idx="9">
                  <c:v>644</c:v>
                </c:pt>
                <c:pt idx="10">
                  <c:v>644</c:v>
                </c:pt>
                <c:pt idx="11">
                  <c:v>644</c:v>
                </c:pt>
                <c:pt idx="12">
                  <c:v>644</c:v>
                </c:pt>
                <c:pt idx="13">
                  <c:v>644</c:v>
                </c:pt>
                <c:pt idx="14">
                  <c:v>644</c:v>
                </c:pt>
                <c:pt idx="15">
                  <c:v>550</c:v>
                </c:pt>
                <c:pt idx="16">
                  <c:v>550</c:v>
                </c:pt>
                <c:pt idx="17">
                  <c:v>550</c:v>
                </c:pt>
                <c:pt idx="18">
                  <c:v>550</c:v>
                </c:pt>
                <c:pt idx="19">
                  <c:v>550</c:v>
                </c:pt>
                <c:pt idx="20">
                  <c:v>550</c:v>
                </c:pt>
                <c:pt idx="21">
                  <c:v>550</c:v>
                </c:pt>
                <c:pt idx="22">
                  <c:v>504</c:v>
                </c:pt>
                <c:pt idx="23">
                  <c:v>504</c:v>
                </c:pt>
                <c:pt idx="24">
                  <c:v>504</c:v>
                </c:pt>
                <c:pt idx="25">
                  <c:v>504</c:v>
                </c:pt>
                <c:pt idx="26">
                  <c:v>504</c:v>
                </c:pt>
                <c:pt idx="27">
                  <c:v>504</c:v>
                </c:pt>
                <c:pt idx="28">
                  <c:v>504</c:v>
                </c:pt>
                <c:pt idx="29">
                  <c:v>446</c:v>
                </c:pt>
                <c:pt idx="30">
                  <c:v>446</c:v>
                </c:pt>
                <c:pt idx="31">
                  <c:v>446</c:v>
                </c:pt>
                <c:pt idx="32">
                  <c:v>446</c:v>
                </c:pt>
                <c:pt idx="33">
                  <c:v>446</c:v>
                </c:pt>
                <c:pt idx="34">
                  <c:v>446</c:v>
                </c:pt>
                <c:pt idx="35">
                  <c:v>416</c:v>
                </c:pt>
                <c:pt idx="36">
                  <c:v>416</c:v>
                </c:pt>
                <c:pt idx="37">
                  <c:v>416</c:v>
                </c:pt>
                <c:pt idx="38">
                  <c:v>416</c:v>
                </c:pt>
                <c:pt idx="39">
                  <c:v>416</c:v>
                </c:pt>
                <c:pt idx="40">
                  <c:v>416</c:v>
                </c:pt>
                <c:pt idx="41">
                  <c:v>416</c:v>
                </c:pt>
                <c:pt idx="42">
                  <c:v>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64-49D5-A4F6-E62E53FA5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054303"/>
        <c:axId val="1"/>
      </c:lineChart>
      <c:catAx>
        <c:axId val="60905430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609054303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0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009100891806738"/>
          <c:y val="7.5828903327228205E-4"/>
          <c:w val="0.26748333359579135"/>
          <c:h val="8.3366883148638021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239327485380123E-2"/>
          <c:y val="8.3148412698412694E-2"/>
          <c:w val="0.91087329483795565"/>
          <c:h val="0.866764196927206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さといも!$A$156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さといも!$B$155:$AR$155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さといも!$B$156:$AR$156</c:f>
              <c:numCache>
                <c:formatCode>#,##0_);[Red]\(#,##0\)</c:formatCode>
                <c:ptCount val="43"/>
                <c:pt idx="0">
                  <c:v>0.63700000000000001</c:v>
                </c:pt>
                <c:pt idx="1">
                  <c:v>0.47</c:v>
                </c:pt>
                <c:pt idx="2">
                  <c:v>0.63600000000000001</c:v>
                </c:pt>
                <c:pt idx="3">
                  <c:v>0.214</c:v>
                </c:pt>
                <c:pt idx="4">
                  <c:v>0.51800000000000002</c:v>
                </c:pt>
                <c:pt idx="5">
                  <c:v>0.74199999999999999</c:v>
                </c:pt>
                <c:pt idx="6">
                  <c:v>0.43</c:v>
                </c:pt>
                <c:pt idx="7">
                  <c:v>0.439</c:v>
                </c:pt>
                <c:pt idx="8">
                  <c:v>0.86399999999999999</c:v>
                </c:pt>
                <c:pt idx="9">
                  <c:v>0.41799999999999998</c:v>
                </c:pt>
                <c:pt idx="10">
                  <c:v>0.53</c:v>
                </c:pt>
                <c:pt idx="11">
                  <c:v>0.30399999999999999</c:v>
                </c:pt>
                <c:pt idx="12">
                  <c:v>0.627</c:v>
                </c:pt>
                <c:pt idx="13">
                  <c:v>0.65100000000000002</c:v>
                </c:pt>
                <c:pt idx="14">
                  <c:v>0.30099999999999999</c:v>
                </c:pt>
                <c:pt idx="15">
                  <c:v>0.41699999999999998</c:v>
                </c:pt>
                <c:pt idx="16">
                  <c:v>0.32900000000000001</c:v>
                </c:pt>
                <c:pt idx="17">
                  <c:v>0.47599999999999998</c:v>
                </c:pt>
                <c:pt idx="18">
                  <c:v>0.44900000000000001</c:v>
                </c:pt>
                <c:pt idx="19">
                  <c:v>0.39100000000000001</c:v>
                </c:pt>
                <c:pt idx="20">
                  <c:v>0.48399999999999999</c:v>
                </c:pt>
                <c:pt idx="21">
                  <c:v>0.307</c:v>
                </c:pt>
                <c:pt idx="22">
                  <c:v>0.68899999999999995</c:v>
                </c:pt>
                <c:pt idx="23">
                  <c:v>0.71799999999999997</c:v>
                </c:pt>
                <c:pt idx="24">
                  <c:v>0.59699999999999998</c:v>
                </c:pt>
                <c:pt idx="25">
                  <c:v>0.60599999999999998</c:v>
                </c:pt>
                <c:pt idx="26">
                  <c:v>0.69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A-4D32-9B08-77FB75AB4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さといも!$A$157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さといも!$B$155:$AR$155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さといも!$B$157:$AR$157</c:f>
              <c:numCache>
                <c:formatCode>#,##0_);[Red]\(#,##0\)</c:formatCode>
                <c:ptCount val="43"/>
                <c:pt idx="0">
                  <c:v>465</c:v>
                </c:pt>
                <c:pt idx="1">
                  <c:v>499</c:v>
                </c:pt>
                <c:pt idx="2">
                  <c:v>544</c:v>
                </c:pt>
                <c:pt idx="3">
                  <c:v>684</c:v>
                </c:pt>
                <c:pt idx="4">
                  <c:v>460</c:v>
                </c:pt>
                <c:pt idx="5">
                  <c:v>611</c:v>
                </c:pt>
                <c:pt idx="6">
                  <c:v>621</c:v>
                </c:pt>
                <c:pt idx="7">
                  <c:v>477</c:v>
                </c:pt>
                <c:pt idx="8">
                  <c:v>584</c:v>
                </c:pt>
                <c:pt idx="9">
                  <c:v>468</c:v>
                </c:pt>
                <c:pt idx="10">
                  <c:v>455</c:v>
                </c:pt>
                <c:pt idx="11">
                  <c:v>451</c:v>
                </c:pt>
                <c:pt idx="12">
                  <c:v>426</c:v>
                </c:pt>
                <c:pt idx="13">
                  <c:v>524</c:v>
                </c:pt>
                <c:pt idx="14">
                  <c:v>488</c:v>
                </c:pt>
                <c:pt idx="15">
                  <c:v>488</c:v>
                </c:pt>
                <c:pt idx="16">
                  <c:v>604</c:v>
                </c:pt>
                <c:pt idx="17">
                  <c:v>488</c:v>
                </c:pt>
                <c:pt idx="18">
                  <c:v>714</c:v>
                </c:pt>
                <c:pt idx="19">
                  <c:v>630</c:v>
                </c:pt>
                <c:pt idx="20">
                  <c:v>543</c:v>
                </c:pt>
                <c:pt idx="21">
                  <c:v>724</c:v>
                </c:pt>
                <c:pt idx="22">
                  <c:v>474</c:v>
                </c:pt>
                <c:pt idx="23">
                  <c:v>617</c:v>
                </c:pt>
                <c:pt idx="24">
                  <c:v>508</c:v>
                </c:pt>
                <c:pt idx="25">
                  <c:v>480</c:v>
                </c:pt>
                <c:pt idx="26">
                  <c:v>502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AA-4D32-9B08-77FB75AB4FA3}"/>
            </c:ext>
          </c:extLst>
        </c:ser>
        <c:ser>
          <c:idx val="2"/>
          <c:order val="2"/>
          <c:tx>
            <c:strRef>
              <c:f>さといも!$A$158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さといも!$B$155:$AR$155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さといも!$B$158:$AR$158</c:f>
              <c:numCache>
                <c:formatCode>#,##0_);[Red]\(#,##0\)</c:formatCode>
                <c:ptCount val="43"/>
                <c:pt idx="0">
                  <c:v>524</c:v>
                </c:pt>
                <c:pt idx="1">
                  <c:v>524</c:v>
                </c:pt>
                <c:pt idx="2">
                  <c:v>524</c:v>
                </c:pt>
                <c:pt idx="3">
                  <c:v>524</c:v>
                </c:pt>
                <c:pt idx="4">
                  <c:v>524</c:v>
                </c:pt>
                <c:pt idx="5">
                  <c:v>524</c:v>
                </c:pt>
                <c:pt idx="6">
                  <c:v>524</c:v>
                </c:pt>
                <c:pt idx="7">
                  <c:v>476</c:v>
                </c:pt>
                <c:pt idx="8">
                  <c:v>476</c:v>
                </c:pt>
                <c:pt idx="9">
                  <c:v>476</c:v>
                </c:pt>
                <c:pt idx="10">
                  <c:v>476</c:v>
                </c:pt>
                <c:pt idx="11">
                  <c:v>476</c:v>
                </c:pt>
                <c:pt idx="12">
                  <c:v>476</c:v>
                </c:pt>
                <c:pt idx="13">
                  <c:v>476</c:v>
                </c:pt>
                <c:pt idx="14">
                  <c:v>476</c:v>
                </c:pt>
                <c:pt idx="15">
                  <c:v>410</c:v>
                </c:pt>
                <c:pt idx="16">
                  <c:v>410</c:v>
                </c:pt>
                <c:pt idx="17">
                  <c:v>410</c:v>
                </c:pt>
                <c:pt idx="18">
                  <c:v>410</c:v>
                </c:pt>
                <c:pt idx="19">
                  <c:v>410</c:v>
                </c:pt>
                <c:pt idx="20">
                  <c:v>410</c:v>
                </c:pt>
                <c:pt idx="21">
                  <c:v>410</c:v>
                </c:pt>
                <c:pt idx="22">
                  <c:v>358</c:v>
                </c:pt>
                <c:pt idx="23">
                  <c:v>358</c:v>
                </c:pt>
                <c:pt idx="24">
                  <c:v>358</c:v>
                </c:pt>
                <c:pt idx="25">
                  <c:v>358</c:v>
                </c:pt>
                <c:pt idx="26">
                  <c:v>358</c:v>
                </c:pt>
                <c:pt idx="27">
                  <c:v>358</c:v>
                </c:pt>
                <c:pt idx="28">
                  <c:v>358</c:v>
                </c:pt>
                <c:pt idx="29">
                  <c:v>333</c:v>
                </c:pt>
                <c:pt idx="30">
                  <c:v>333</c:v>
                </c:pt>
                <c:pt idx="31">
                  <c:v>333</c:v>
                </c:pt>
                <c:pt idx="32">
                  <c:v>333</c:v>
                </c:pt>
                <c:pt idx="33">
                  <c:v>333</c:v>
                </c:pt>
                <c:pt idx="34">
                  <c:v>333</c:v>
                </c:pt>
                <c:pt idx="35">
                  <c:v>333</c:v>
                </c:pt>
                <c:pt idx="36">
                  <c:v>333</c:v>
                </c:pt>
                <c:pt idx="37">
                  <c:v>333</c:v>
                </c:pt>
                <c:pt idx="38">
                  <c:v>333</c:v>
                </c:pt>
                <c:pt idx="39">
                  <c:v>333</c:v>
                </c:pt>
                <c:pt idx="40">
                  <c:v>333</c:v>
                </c:pt>
                <c:pt idx="41">
                  <c:v>333</c:v>
                </c:pt>
                <c:pt idx="42">
                  <c:v>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AA-4D32-9B08-77FB75AB4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849151"/>
        <c:axId val="1"/>
      </c:lineChart>
      <c:catAx>
        <c:axId val="61284915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61284915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At val="0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\(#,##0\)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  <c:majorUnit val="1"/>
        <c:minorUnit val="0.5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109257279747802"/>
          <c:y val="1.2648338900927078E-3"/>
          <c:w val="0.26299030572190502"/>
          <c:h val="8.1162011773316764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761175813213602E-2"/>
          <c:y val="6.9245324170660497E-2"/>
          <c:w val="0.90282428748845855"/>
          <c:h val="0.880920271576263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ばれいしょ!$A$36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ばれいしょ!$B$35:$AR$35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ばれいしょ!$B$36:$AR$36</c:f>
              <c:numCache>
                <c:formatCode>#,##0_);[Red]\(#,##0\)</c:formatCode>
                <c:ptCount val="43"/>
                <c:pt idx="0">
                  <c:v>491.77499999999998</c:v>
                </c:pt>
                <c:pt idx="1">
                  <c:v>270.517</c:v>
                </c:pt>
                <c:pt idx="2">
                  <c:v>456.22</c:v>
                </c:pt>
                <c:pt idx="3">
                  <c:v>220.46</c:v>
                </c:pt>
                <c:pt idx="4">
                  <c:v>321.81599999999997</c:v>
                </c:pt>
                <c:pt idx="5">
                  <c:v>299.99900000000002</c:v>
                </c:pt>
                <c:pt idx="6">
                  <c:v>254.62799999999999</c:v>
                </c:pt>
                <c:pt idx="7">
                  <c:v>322.13400000000001</c:v>
                </c:pt>
                <c:pt idx="8">
                  <c:v>251.441</c:v>
                </c:pt>
                <c:pt idx="9">
                  <c:v>237.11699999999999</c:v>
                </c:pt>
                <c:pt idx="10">
                  <c:v>278.34100000000001</c:v>
                </c:pt>
                <c:pt idx="11">
                  <c:v>173.358</c:v>
                </c:pt>
                <c:pt idx="12">
                  <c:v>250.917</c:v>
                </c:pt>
                <c:pt idx="13">
                  <c:v>207.6</c:v>
                </c:pt>
                <c:pt idx="14">
                  <c:v>301.50200000000001</c:v>
                </c:pt>
                <c:pt idx="15">
                  <c:v>237.49600000000001</c:v>
                </c:pt>
                <c:pt idx="16">
                  <c:v>170.73699999999999</c:v>
                </c:pt>
                <c:pt idx="17">
                  <c:v>225.88</c:v>
                </c:pt>
                <c:pt idx="18">
                  <c:v>148.95500000000001</c:v>
                </c:pt>
                <c:pt idx="19">
                  <c:v>197.96799999999999</c:v>
                </c:pt>
                <c:pt idx="20">
                  <c:v>149.48599999999999</c:v>
                </c:pt>
                <c:pt idx="21">
                  <c:v>154.53299999999999</c:v>
                </c:pt>
                <c:pt idx="22">
                  <c:v>171.19900000000001</c:v>
                </c:pt>
                <c:pt idx="23">
                  <c:v>122.874</c:v>
                </c:pt>
                <c:pt idx="24">
                  <c:v>111.675</c:v>
                </c:pt>
                <c:pt idx="25">
                  <c:v>151.52799999999999</c:v>
                </c:pt>
                <c:pt idx="26">
                  <c:v>97.048000000000002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D-4D2C-B6F7-08234877D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ばれいしょ!$A$37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ばれいしょ!$B$35:$AR$35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ばれいしょ!$B$37:$AR$37</c:f>
              <c:numCache>
                <c:formatCode>#,##0_);[Red]\(#,##0\)</c:formatCode>
                <c:ptCount val="43"/>
                <c:pt idx="0">
                  <c:v>145</c:v>
                </c:pt>
                <c:pt idx="1">
                  <c:v>143</c:v>
                </c:pt>
                <c:pt idx="2">
                  <c:v>145</c:v>
                </c:pt>
                <c:pt idx="3">
                  <c:v>151</c:v>
                </c:pt>
                <c:pt idx="4">
                  <c:v>146</c:v>
                </c:pt>
                <c:pt idx="5">
                  <c:v>154</c:v>
                </c:pt>
                <c:pt idx="6">
                  <c:v>163</c:v>
                </c:pt>
                <c:pt idx="7">
                  <c:v>170</c:v>
                </c:pt>
                <c:pt idx="8">
                  <c:v>175</c:v>
                </c:pt>
                <c:pt idx="9">
                  <c:v>191</c:v>
                </c:pt>
                <c:pt idx="10">
                  <c:v>178</c:v>
                </c:pt>
                <c:pt idx="11">
                  <c:v>192</c:v>
                </c:pt>
                <c:pt idx="12">
                  <c:v>201</c:v>
                </c:pt>
                <c:pt idx="13">
                  <c:v>191</c:v>
                </c:pt>
                <c:pt idx="14">
                  <c:v>200</c:v>
                </c:pt>
                <c:pt idx="15">
                  <c:v>204</c:v>
                </c:pt>
                <c:pt idx="16">
                  <c:v>190</c:v>
                </c:pt>
                <c:pt idx="17">
                  <c:v>203</c:v>
                </c:pt>
                <c:pt idx="18">
                  <c:v>235</c:v>
                </c:pt>
                <c:pt idx="19">
                  <c:v>233</c:v>
                </c:pt>
                <c:pt idx="20">
                  <c:v>212</c:v>
                </c:pt>
                <c:pt idx="21">
                  <c:v>217</c:v>
                </c:pt>
                <c:pt idx="22">
                  <c:v>219</c:v>
                </c:pt>
                <c:pt idx="23">
                  <c:v>234</c:v>
                </c:pt>
                <c:pt idx="24">
                  <c:v>229</c:v>
                </c:pt>
                <c:pt idx="25">
                  <c:v>244</c:v>
                </c:pt>
                <c:pt idx="26">
                  <c:v>237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0D-4D2C-B6F7-08234877DCDB}"/>
            </c:ext>
          </c:extLst>
        </c:ser>
        <c:ser>
          <c:idx val="2"/>
          <c:order val="2"/>
          <c:tx>
            <c:strRef>
              <c:f>ばれいしょ!$A$38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ばれいしょ!$B$35:$AR$35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ばれいしょ!$B$38:$AR$38</c:f>
              <c:numCache>
                <c:formatCode>#,##0_);[Red]\(#,##0\)</c:formatCode>
                <c:ptCount val="43"/>
                <c:pt idx="0">
                  <c:v>201</c:v>
                </c:pt>
                <c:pt idx="1">
                  <c:v>201</c:v>
                </c:pt>
                <c:pt idx="2">
                  <c:v>201</c:v>
                </c:pt>
                <c:pt idx="3">
                  <c:v>201</c:v>
                </c:pt>
                <c:pt idx="4">
                  <c:v>201</c:v>
                </c:pt>
                <c:pt idx="5">
                  <c:v>201</c:v>
                </c:pt>
                <c:pt idx="6">
                  <c:v>201</c:v>
                </c:pt>
                <c:pt idx="7">
                  <c:v>182</c:v>
                </c:pt>
                <c:pt idx="8">
                  <c:v>182</c:v>
                </c:pt>
                <c:pt idx="9">
                  <c:v>182</c:v>
                </c:pt>
                <c:pt idx="10">
                  <c:v>182</c:v>
                </c:pt>
                <c:pt idx="11">
                  <c:v>182</c:v>
                </c:pt>
                <c:pt idx="12">
                  <c:v>182</c:v>
                </c:pt>
                <c:pt idx="13">
                  <c:v>182</c:v>
                </c:pt>
                <c:pt idx="14">
                  <c:v>182</c:v>
                </c:pt>
                <c:pt idx="15">
                  <c:v>160</c:v>
                </c:pt>
                <c:pt idx="16">
                  <c:v>160</c:v>
                </c:pt>
                <c:pt idx="17">
                  <c:v>160</c:v>
                </c:pt>
                <c:pt idx="18">
                  <c:v>160</c:v>
                </c:pt>
                <c:pt idx="19">
                  <c:v>160</c:v>
                </c:pt>
                <c:pt idx="20">
                  <c:v>160</c:v>
                </c:pt>
                <c:pt idx="21">
                  <c:v>160</c:v>
                </c:pt>
                <c:pt idx="22">
                  <c:v>156</c:v>
                </c:pt>
                <c:pt idx="23">
                  <c:v>156</c:v>
                </c:pt>
                <c:pt idx="24">
                  <c:v>156</c:v>
                </c:pt>
                <c:pt idx="25">
                  <c:v>156</c:v>
                </c:pt>
                <c:pt idx="26">
                  <c:v>156</c:v>
                </c:pt>
                <c:pt idx="27">
                  <c:v>156</c:v>
                </c:pt>
                <c:pt idx="28">
                  <c:v>156</c:v>
                </c:pt>
                <c:pt idx="29">
                  <c:v>157</c:v>
                </c:pt>
                <c:pt idx="30">
                  <c:v>157</c:v>
                </c:pt>
                <c:pt idx="31">
                  <c:v>157</c:v>
                </c:pt>
                <c:pt idx="32">
                  <c:v>157</c:v>
                </c:pt>
                <c:pt idx="33">
                  <c:v>157</c:v>
                </c:pt>
                <c:pt idx="34">
                  <c:v>157</c:v>
                </c:pt>
                <c:pt idx="35">
                  <c:v>157</c:v>
                </c:pt>
                <c:pt idx="36">
                  <c:v>157</c:v>
                </c:pt>
                <c:pt idx="37">
                  <c:v>157</c:v>
                </c:pt>
                <c:pt idx="38">
                  <c:v>157</c:v>
                </c:pt>
                <c:pt idx="39">
                  <c:v>157</c:v>
                </c:pt>
                <c:pt idx="40">
                  <c:v>157</c:v>
                </c:pt>
                <c:pt idx="41">
                  <c:v>157</c:v>
                </c:pt>
                <c:pt idx="42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0D-4D2C-B6F7-08234877D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851647"/>
        <c:axId val="1"/>
      </c:lineChart>
      <c:catAx>
        <c:axId val="6128516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612851647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271160847703897"/>
          <c:y val="1.151334621457575E-3"/>
          <c:w val="0.26605900873587174"/>
          <c:h val="7.2799789021204847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400958287860274E-2"/>
          <c:y val="8.2639302110972632E-2"/>
          <c:w val="0.90484900477449004"/>
          <c:h val="0.867779042898764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ばれいしょ!$A$76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ばれいしょ!$B$75:$AR$75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ばれいしょ!$B$76:$AR$76</c:f>
              <c:numCache>
                <c:formatCode>#,##0_);[Red]\(#,##0\)</c:formatCode>
                <c:ptCount val="43"/>
                <c:pt idx="0">
                  <c:v>142.58199999999999</c:v>
                </c:pt>
                <c:pt idx="1">
                  <c:v>123.86</c:v>
                </c:pt>
                <c:pt idx="2">
                  <c:v>117.43899999999999</c:v>
                </c:pt>
                <c:pt idx="3">
                  <c:v>120.44499999999999</c:v>
                </c:pt>
                <c:pt idx="4">
                  <c:v>118.63500000000001</c:v>
                </c:pt>
                <c:pt idx="5">
                  <c:v>75.269000000000005</c:v>
                </c:pt>
                <c:pt idx="6">
                  <c:v>153.14699999999999</c:v>
                </c:pt>
                <c:pt idx="7">
                  <c:v>116.79600000000001</c:v>
                </c:pt>
                <c:pt idx="8">
                  <c:v>57.56</c:v>
                </c:pt>
                <c:pt idx="9">
                  <c:v>104.69799999999999</c:v>
                </c:pt>
                <c:pt idx="10">
                  <c:v>122.13800000000001</c:v>
                </c:pt>
                <c:pt idx="11">
                  <c:v>93.71</c:v>
                </c:pt>
                <c:pt idx="12">
                  <c:v>94.632999999999996</c:v>
                </c:pt>
                <c:pt idx="13">
                  <c:v>78.296999999999997</c:v>
                </c:pt>
                <c:pt idx="14">
                  <c:v>71.606999999999999</c:v>
                </c:pt>
                <c:pt idx="15">
                  <c:v>68.566000000000003</c:v>
                </c:pt>
                <c:pt idx="16">
                  <c:v>58.582000000000001</c:v>
                </c:pt>
                <c:pt idx="17">
                  <c:v>85.366</c:v>
                </c:pt>
                <c:pt idx="18">
                  <c:v>76.415000000000006</c:v>
                </c:pt>
                <c:pt idx="19">
                  <c:v>46.72</c:v>
                </c:pt>
                <c:pt idx="20">
                  <c:v>47.286999999999999</c:v>
                </c:pt>
                <c:pt idx="21">
                  <c:v>55.399000000000001</c:v>
                </c:pt>
                <c:pt idx="22">
                  <c:v>67.367000000000004</c:v>
                </c:pt>
                <c:pt idx="23">
                  <c:v>33.840000000000003</c:v>
                </c:pt>
                <c:pt idx="24">
                  <c:v>65.492999999999995</c:v>
                </c:pt>
                <c:pt idx="25">
                  <c:v>64.337000000000003</c:v>
                </c:pt>
                <c:pt idx="26">
                  <c:v>32.938000000000002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E-4F1E-97DD-C2DBDDBE4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ばれいしょ!$A$77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ばれいしょ!$B$75:$AR$75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ばれいしょ!$B$77:$AR$77</c:f>
              <c:numCache>
                <c:formatCode>#,##0_);[Red]\(#,##0\)</c:formatCode>
                <c:ptCount val="43"/>
                <c:pt idx="0">
                  <c:v>145</c:v>
                </c:pt>
                <c:pt idx="1">
                  <c:v>154</c:v>
                </c:pt>
                <c:pt idx="2">
                  <c:v>156</c:v>
                </c:pt>
                <c:pt idx="3">
                  <c:v>153</c:v>
                </c:pt>
                <c:pt idx="4">
                  <c:v>170</c:v>
                </c:pt>
                <c:pt idx="5">
                  <c:v>168</c:v>
                </c:pt>
                <c:pt idx="6">
                  <c:v>164</c:v>
                </c:pt>
                <c:pt idx="7">
                  <c:v>155</c:v>
                </c:pt>
                <c:pt idx="8">
                  <c:v>168</c:v>
                </c:pt>
                <c:pt idx="9">
                  <c:v>175</c:v>
                </c:pt>
                <c:pt idx="10">
                  <c:v>205</c:v>
                </c:pt>
                <c:pt idx="11">
                  <c:v>198</c:v>
                </c:pt>
                <c:pt idx="12">
                  <c:v>206</c:v>
                </c:pt>
                <c:pt idx="13">
                  <c:v>200</c:v>
                </c:pt>
                <c:pt idx="14">
                  <c:v>212</c:v>
                </c:pt>
                <c:pt idx="15">
                  <c:v>207</c:v>
                </c:pt>
                <c:pt idx="16">
                  <c:v>230</c:v>
                </c:pt>
                <c:pt idx="17">
                  <c:v>232</c:v>
                </c:pt>
                <c:pt idx="18">
                  <c:v>230</c:v>
                </c:pt>
                <c:pt idx="19">
                  <c:v>239</c:v>
                </c:pt>
                <c:pt idx="20">
                  <c:v>249</c:v>
                </c:pt>
                <c:pt idx="21">
                  <c:v>260</c:v>
                </c:pt>
                <c:pt idx="22">
                  <c:v>248</c:v>
                </c:pt>
                <c:pt idx="23">
                  <c:v>254</c:v>
                </c:pt>
                <c:pt idx="24">
                  <c:v>256</c:v>
                </c:pt>
                <c:pt idx="25">
                  <c:v>274</c:v>
                </c:pt>
                <c:pt idx="26">
                  <c:v>291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2E-4F1E-97DD-C2DBDDBE4EC2}"/>
            </c:ext>
          </c:extLst>
        </c:ser>
        <c:ser>
          <c:idx val="2"/>
          <c:order val="2"/>
          <c:tx>
            <c:strRef>
              <c:f>ばれいしょ!$A$78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ばれいしょ!$B$75:$AR$75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ばれいしょ!$B$78:$AR$78</c:f>
              <c:numCache>
                <c:formatCode>#,##0_);[Red]\(#,##0\)</c:formatCode>
                <c:ptCount val="43"/>
                <c:pt idx="0">
                  <c:v>201</c:v>
                </c:pt>
                <c:pt idx="1">
                  <c:v>201</c:v>
                </c:pt>
                <c:pt idx="2">
                  <c:v>201</c:v>
                </c:pt>
                <c:pt idx="3">
                  <c:v>201</c:v>
                </c:pt>
                <c:pt idx="4">
                  <c:v>201</c:v>
                </c:pt>
                <c:pt idx="5">
                  <c:v>201</c:v>
                </c:pt>
                <c:pt idx="6">
                  <c:v>201</c:v>
                </c:pt>
                <c:pt idx="7">
                  <c:v>178</c:v>
                </c:pt>
                <c:pt idx="8">
                  <c:v>178</c:v>
                </c:pt>
                <c:pt idx="9">
                  <c:v>178</c:v>
                </c:pt>
                <c:pt idx="10">
                  <c:v>178</c:v>
                </c:pt>
                <c:pt idx="11">
                  <c:v>178</c:v>
                </c:pt>
                <c:pt idx="12">
                  <c:v>178</c:v>
                </c:pt>
                <c:pt idx="13">
                  <c:v>178</c:v>
                </c:pt>
                <c:pt idx="14">
                  <c:v>178</c:v>
                </c:pt>
                <c:pt idx="15">
                  <c:v>151</c:v>
                </c:pt>
                <c:pt idx="16">
                  <c:v>151</c:v>
                </c:pt>
                <c:pt idx="17">
                  <c:v>151</c:v>
                </c:pt>
                <c:pt idx="18">
                  <c:v>151</c:v>
                </c:pt>
                <c:pt idx="19">
                  <c:v>151</c:v>
                </c:pt>
                <c:pt idx="20">
                  <c:v>151</c:v>
                </c:pt>
                <c:pt idx="21">
                  <c:v>151</c:v>
                </c:pt>
                <c:pt idx="22">
                  <c:v>160</c:v>
                </c:pt>
                <c:pt idx="23">
                  <c:v>160</c:v>
                </c:pt>
                <c:pt idx="24">
                  <c:v>160</c:v>
                </c:pt>
                <c:pt idx="25">
                  <c:v>160</c:v>
                </c:pt>
                <c:pt idx="26">
                  <c:v>160</c:v>
                </c:pt>
                <c:pt idx="27">
                  <c:v>160</c:v>
                </c:pt>
                <c:pt idx="28">
                  <c:v>160</c:v>
                </c:pt>
                <c:pt idx="29">
                  <c:v>176</c:v>
                </c:pt>
                <c:pt idx="30">
                  <c:v>176</c:v>
                </c:pt>
                <c:pt idx="31">
                  <c:v>176</c:v>
                </c:pt>
                <c:pt idx="32">
                  <c:v>176</c:v>
                </c:pt>
                <c:pt idx="33">
                  <c:v>176</c:v>
                </c:pt>
                <c:pt idx="34">
                  <c:v>176</c:v>
                </c:pt>
                <c:pt idx="35">
                  <c:v>193</c:v>
                </c:pt>
                <c:pt idx="36">
                  <c:v>193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2E-4F1E-97DD-C2DBDDBE4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535599"/>
        <c:axId val="1"/>
      </c:lineChart>
      <c:catAx>
        <c:axId val="61353559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613535599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081261588620966"/>
          <c:y val="2.9929517992087419E-3"/>
          <c:w val="0.26444344668815511"/>
          <c:h val="8.2993706892611804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861510069074161E-2"/>
          <c:y val="8.4748795240749172E-2"/>
          <c:w val="0.90811567327173925"/>
          <c:h val="0.864399810936715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ばれいしょ!$A$116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ばれいしょ!$B$115:$AR$115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ばれいしょ!$B$116:$AR$116</c:f>
              <c:numCache>
                <c:formatCode>#,##0_);[Red]\(#,##0\)</c:formatCode>
                <c:ptCount val="43"/>
                <c:pt idx="0">
                  <c:v>206.75</c:v>
                </c:pt>
                <c:pt idx="1">
                  <c:v>88.459000000000003</c:v>
                </c:pt>
                <c:pt idx="2">
                  <c:v>152.50899999999999</c:v>
                </c:pt>
                <c:pt idx="3">
                  <c:v>94.29</c:v>
                </c:pt>
                <c:pt idx="4">
                  <c:v>129.739</c:v>
                </c:pt>
                <c:pt idx="5">
                  <c:v>133.28800000000001</c:v>
                </c:pt>
                <c:pt idx="6">
                  <c:v>71.22</c:v>
                </c:pt>
                <c:pt idx="7">
                  <c:v>127.545</c:v>
                </c:pt>
                <c:pt idx="8">
                  <c:v>92.11</c:v>
                </c:pt>
                <c:pt idx="9">
                  <c:v>89.2</c:v>
                </c:pt>
                <c:pt idx="10">
                  <c:v>112.4</c:v>
                </c:pt>
                <c:pt idx="11">
                  <c:v>106.69</c:v>
                </c:pt>
                <c:pt idx="12">
                  <c:v>155.97800000000001</c:v>
                </c:pt>
                <c:pt idx="13">
                  <c:v>99.75</c:v>
                </c:pt>
                <c:pt idx="14">
                  <c:v>89</c:v>
                </c:pt>
                <c:pt idx="15">
                  <c:v>96.15</c:v>
                </c:pt>
                <c:pt idx="16">
                  <c:v>65.34</c:v>
                </c:pt>
                <c:pt idx="17">
                  <c:v>68.734999999999999</c:v>
                </c:pt>
                <c:pt idx="18">
                  <c:v>61.38</c:v>
                </c:pt>
                <c:pt idx="19">
                  <c:v>57.66</c:v>
                </c:pt>
                <c:pt idx="20">
                  <c:v>91.704999999999998</c:v>
                </c:pt>
                <c:pt idx="21">
                  <c:v>40.83</c:v>
                </c:pt>
                <c:pt idx="22">
                  <c:v>64.905000000000001</c:v>
                </c:pt>
                <c:pt idx="23">
                  <c:v>21.97</c:v>
                </c:pt>
                <c:pt idx="24">
                  <c:v>44.95</c:v>
                </c:pt>
                <c:pt idx="25">
                  <c:v>75.215000000000003</c:v>
                </c:pt>
                <c:pt idx="26">
                  <c:v>39.130000000000003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2-43BA-940F-15108DF8F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ばれいしょ!$A$117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ばれいしょ!$B$115:$AR$115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ばれいしょ!$B$117:$AR$117</c:f>
              <c:numCache>
                <c:formatCode>#,##0_);[Red]\(#,##0\)</c:formatCode>
                <c:ptCount val="43"/>
                <c:pt idx="0">
                  <c:v>128</c:v>
                </c:pt>
                <c:pt idx="1">
                  <c:v>132</c:v>
                </c:pt>
                <c:pt idx="2">
                  <c:v>141</c:v>
                </c:pt>
                <c:pt idx="3">
                  <c:v>137</c:v>
                </c:pt>
                <c:pt idx="4">
                  <c:v>143</c:v>
                </c:pt>
                <c:pt idx="5">
                  <c:v>149</c:v>
                </c:pt>
                <c:pt idx="6">
                  <c:v>159</c:v>
                </c:pt>
                <c:pt idx="7">
                  <c:v>163</c:v>
                </c:pt>
                <c:pt idx="8">
                  <c:v>170</c:v>
                </c:pt>
                <c:pt idx="9">
                  <c:v>181</c:v>
                </c:pt>
                <c:pt idx="10">
                  <c:v>202</c:v>
                </c:pt>
                <c:pt idx="11">
                  <c:v>215</c:v>
                </c:pt>
                <c:pt idx="12">
                  <c:v>207</c:v>
                </c:pt>
                <c:pt idx="13">
                  <c:v>205</c:v>
                </c:pt>
                <c:pt idx="14">
                  <c:v>213</c:v>
                </c:pt>
                <c:pt idx="15">
                  <c:v>203</c:v>
                </c:pt>
                <c:pt idx="16">
                  <c:v>220</c:v>
                </c:pt>
                <c:pt idx="17">
                  <c:v>213</c:v>
                </c:pt>
                <c:pt idx="18">
                  <c:v>204</c:v>
                </c:pt>
                <c:pt idx="19">
                  <c:v>220</c:v>
                </c:pt>
                <c:pt idx="20">
                  <c:v>222</c:v>
                </c:pt>
                <c:pt idx="21">
                  <c:v>241</c:v>
                </c:pt>
                <c:pt idx="22">
                  <c:v>232</c:v>
                </c:pt>
                <c:pt idx="23">
                  <c:v>266</c:v>
                </c:pt>
                <c:pt idx="24">
                  <c:v>248</c:v>
                </c:pt>
                <c:pt idx="25">
                  <c:v>283</c:v>
                </c:pt>
                <c:pt idx="26">
                  <c:v>331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2-43BA-940F-15108DF8F2AF}"/>
            </c:ext>
          </c:extLst>
        </c:ser>
        <c:ser>
          <c:idx val="2"/>
          <c:order val="2"/>
          <c:tx>
            <c:strRef>
              <c:f>ばれいしょ!$A$118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ばれいしょ!$B$115:$AR$115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ばれいしょ!$B$118:$AR$118</c:f>
              <c:numCache>
                <c:formatCode>#,##0_);[Red]\(#,##0\)</c:formatCode>
                <c:ptCount val="43"/>
                <c:pt idx="0">
                  <c:v>167</c:v>
                </c:pt>
                <c:pt idx="1">
                  <c:v>167</c:v>
                </c:pt>
                <c:pt idx="2">
                  <c:v>167</c:v>
                </c:pt>
                <c:pt idx="3">
                  <c:v>167</c:v>
                </c:pt>
                <c:pt idx="4">
                  <c:v>167</c:v>
                </c:pt>
                <c:pt idx="5">
                  <c:v>167</c:v>
                </c:pt>
                <c:pt idx="6">
                  <c:v>167</c:v>
                </c:pt>
                <c:pt idx="7">
                  <c:v>153</c:v>
                </c:pt>
                <c:pt idx="8">
                  <c:v>153</c:v>
                </c:pt>
                <c:pt idx="9">
                  <c:v>153</c:v>
                </c:pt>
                <c:pt idx="10">
                  <c:v>153</c:v>
                </c:pt>
                <c:pt idx="11">
                  <c:v>153</c:v>
                </c:pt>
                <c:pt idx="12">
                  <c:v>153</c:v>
                </c:pt>
                <c:pt idx="13">
                  <c:v>153</c:v>
                </c:pt>
                <c:pt idx="14">
                  <c:v>153</c:v>
                </c:pt>
                <c:pt idx="15">
                  <c:v>141</c:v>
                </c:pt>
                <c:pt idx="16">
                  <c:v>141</c:v>
                </c:pt>
                <c:pt idx="17">
                  <c:v>141</c:v>
                </c:pt>
                <c:pt idx="18">
                  <c:v>141</c:v>
                </c:pt>
                <c:pt idx="19">
                  <c:v>141</c:v>
                </c:pt>
                <c:pt idx="20">
                  <c:v>141</c:v>
                </c:pt>
                <c:pt idx="21">
                  <c:v>141</c:v>
                </c:pt>
                <c:pt idx="22">
                  <c:v>134</c:v>
                </c:pt>
                <c:pt idx="23">
                  <c:v>134</c:v>
                </c:pt>
                <c:pt idx="24">
                  <c:v>134</c:v>
                </c:pt>
                <c:pt idx="25">
                  <c:v>134</c:v>
                </c:pt>
                <c:pt idx="26">
                  <c:v>134</c:v>
                </c:pt>
                <c:pt idx="27">
                  <c:v>134</c:v>
                </c:pt>
                <c:pt idx="28">
                  <c:v>134</c:v>
                </c:pt>
                <c:pt idx="29">
                  <c:v>157</c:v>
                </c:pt>
                <c:pt idx="30">
                  <c:v>157</c:v>
                </c:pt>
                <c:pt idx="31">
                  <c:v>157</c:v>
                </c:pt>
                <c:pt idx="32">
                  <c:v>157</c:v>
                </c:pt>
                <c:pt idx="33">
                  <c:v>157</c:v>
                </c:pt>
                <c:pt idx="34">
                  <c:v>157</c:v>
                </c:pt>
                <c:pt idx="35">
                  <c:v>164</c:v>
                </c:pt>
                <c:pt idx="36">
                  <c:v>164</c:v>
                </c:pt>
                <c:pt idx="37">
                  <c:v>164</c:v>
                </c:pt>
                <c:pt idx="38">
                  <c:v>164</c:v>
                </c:pt>
                <c:pt idx="39">
                  <c:v>164</c:v>
                </c:pt>
                <c:pt idx="40">
                  <c:v>164</c:v>
                </c:pt>
                <c:pt idx="41">
                  <c:v>164</c:v>
                </c:pt>
                <c:pt idx="42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B2-43BA-940F-15108DF8F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531439"/>
        <c:axId val="1"/>
      </c:lineChart>
      <c:catAx>
        <c:axId val="61353143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crossAx val="613531439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073292085000396"/>
          <c:y val="5.4734100302984495E-4"/>
          <c:w val="0.26389916742692515"/>
          <c:h val="8.5938128700816935E-2"/>
        </c:manualLayout>
      </c:layout>
      <c:overlay val="0"/>
      <c:txPr>
        <a:bodyPr/>
        <a:lstStyle/>
        <a:p>
          <a:pPr>
            <a:defRPr sz="1100"/>
          </a:pPr>
          <a:endParaRPr lang="ja-JP"/>
        </a:p>
      </c:txPr>
    </c:legend>
    <c:plotVisOnly val="1"/>
    <c:dispBlanksAs val="gap"/>
    <c:showDLblsOverMax val="0"/>
  </c:chart>
  <c:txPr>
    <a:bodyPr/>
    <a:lstStyle/>
    <a:p>
      <a:pPr>
        <a:defRPr b="1"/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265996787165917E-2"/>
          <c:y val="9.2801349894656729E-2"/>
          <c:w val="0.90605356660674408"/>
          <c:h val="0.85129333968213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ばれいしょ!$A$156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ばれいしょ!$B$155:$AR$155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ばれいしょ!$B$156:$AR$156</c:f>
              <c:numCache>
                <c:formatCode>#,##0_);[Red]\(#,##0\)</c:formatCode>
                <c:ptCount val="43"/>
                <c:pt idx="0">
                  <c:v>177.221</c:v>
                </c:pt>
                <c:pt idx="1">
                  <c:v>99.01</c:v>
                </c:pt>
                <c:pt idx="2">
                  <c:v>129.148</c:v>
                </c:pt>
                <c:pt idx="3">
                  <c:v>107.1</c:v>
                </c:pt>
                <c:pt idx="4">
                  <c:v>98.798000000000002</c:v>
                </c:pt>
                <c:pt idx="5">
                  <c:v>155.52000000000001</c:v>
                </c:pt>
                <c:pt idx="6">
                  <c:v>79.510000000000005</c:v>
                </c:pt>
                <c:pt idx="7">
                  <c:v>147.53</c:v>
                </c:pt>
                <c:pt idx="8">
                  <c:v>121.413</c:v>
                </c:pt>
                <c:pt idx="9">
                  <c:v>85.799000000000007</c:v>
                </c:pt>
                <c:pt idx="10">
                  <c:v>78.567999999999998</c:v>
                </c:pt>
                <c:pt idx="11">
                  <c:v>74.254000000000005</c:v>
                </c:pt>
                <c:pt idx="12">
                  <c:v>103.11499999999999</c:v>
                </c:pt>
                <c:pt idx="13">
                  <c:v>125.64100000000001</c:v>
                </c:pt>
                <c:pt idx="14">
                  <c:v>71.53</c:v>
                </c:pt>
                <c:pt idx="15">
                  <c:v>70.426000000000002</c:v>
                </c:pt>
                <c:pt idx="16">
                  <c:v>57.098999999999997</c:v>
                </c:pt>
                <c:pt idx="17">
                  <c:v>65.358999999999995</c:v>
                </c:pt>
                <c:pt idx="18">
                  <c:v>56.774000000000001</c:v>
                </c:pt>
                <c:pt idx="19">
                  <c:v>78.564999999999998</c:v>
                </c:pt>
                <c:pt idx="20">
                  <c:v>19.72</c:v>
                </c:pt>
                <c:pt idx="21">
                  <c:v>56.530999999999999</c:v>
                </c:pt>
                <c:pt idx="22">
                  <c:v>140.85</c:v>
                </c:pt>
                <c:pt idx="23">
                  <c:v>57.502000000000002</c:v>
                </c:pt>
                <c:pt idx="24">
                  <c:v>47.777000000000001</c:v>
                </c:pt>
                <c:pt idx="25">
                  <c:v>12.34</c:v>
                </c:pt>
                <c:pt idx="26">
                  <c:v>32.299999999999997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6-4BEF-8705-E3A6D3056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ばれいしょ!$A$157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ばれいしょ!$B$155:$AR$155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ばれいしょ!$B$157:$AR$157</c:f>
              <c:numCache>
                <c:formatCode>#,##0_);[Red]\(#,##0\)</c:formatCode>
                <c:ptCount val="43"/>
                <c:pt idx="0">
                  <c:v>134</c:v>
                </c:pt>
                <c:pt idx="1">
                  <c:v>122</c:v>
                </c:pt>
                <c:pt idx="2">
                  <c:v>114</c:v>
                </c:pt>
                <c:pt idx="3">
                  <c:v>126</c:v>
                </c:pt>
                <c:pt idx="4">
                  <c:v>134</c:v>
                </c:pt>
                <c:pt idx="5">
                  <c:v>136</c:v>
                </c:pt>
                <c:pt idx="6">
                  <c:v>145</c:v>
                </c:pt>
                <c:pt idx="7">
                  <c:v>147</c:v>
                </c:pt>
                <c:pt idx="8">
                  <c:v>122</c:v>
                </c:pt>
                <c:pt idx="9">
                  <c:v>171</c:v>
                </c:pt>
                <c:pt idx="10">
                  <c:v>184</c:v>
                </c:pt>
                <c:pt idx="11">
                  <c:v>192</c:v>
                </c:pt>
                <c:pt idx="12">
                  <c:v>189</c:v>
                </c:pt>
                <c:pt idx="13">
                  <c:v>161</c:v>
                </c:pt>
                <c:pt idx="14">
                  <c:v>206</c:v>
                </c:pt>
                <c:pt idx="15">
                  <c:v>180</c:v>
                </c:pt>
                <c:pt idx="16">
                  <c:v>208</c:v>
                </c:pt>
                <c:pt idx="17">
                  <c:v>195</c:v>
                </c:pt>
                <c:pt idx="18">
                  <c:v>225</c:v>
                </c:pt>
                <c:pt idx="19">
                  <c:v>199</c:v>
                </c:pt>
                <c:pt idx="20">
                  <c:v>254</c:v>
                </c:pt>
                <c:pt idx="21">
                  <c:v>178</c:v>
                </c:pt>
                <c:pt idx="22">
                  <c:v>170</c:v>
                </c:pt>
                <c:pt idx="23">
                  <c:v>237</c:v>
                </c:pt>
                <c:pt idx="24">
                  <c:v>252</c:v>
                </c:pt>
                <c:pt idx="25">
                  <c:v>288</c:v>
                </c:pt>
                <c:pt idx="26">
                  <c:v>252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6-4BEF-8705-E3A6D3056A1D}"/>
            </c:ext>
          </c:extLst>
        </c:ser>
        <c:ser>
          <c:idx val="2"/>
          <c:order val="2"/>
          <c:tx>
            <c:strRef>
              <c:f>ばれいしょ!$A$158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ばれいしょ!$B$155:$AR$155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ばれいしょ!$B$158:$AR$158</c:f>
              <c:numCache>
                <c:formatCode>#,##0_);[Red]\(#,##0\)</c:formatCode>
                <c:ptCount val="43"/>
                <c:pt idx="0">
                  <c:v>191</c:v>
                </c:pt>
                <c:pt idx="1">
                  <c:v>191</c:v>
                </c:pt>
                <c:pt idx="2">
                  <c:v>191</c:v>
                </c:pt>
                <c:pt idx="3">
                  <c:v>191</c:v>
                </c:pt>
                <c:pt idx="4">
                  <c:v>191</c:v>
                </c:pt>
                <c:pt idx="5">
                  <c:v>191</c:v>
                </c:pt>
                <c:pt idx="6">
                  <c:v>191</c:v>
                </c:pt>
                <c:pt idx="7">
                  <c:v>175</c:v>
                </c:pt>
                <c:pt idx="8">
                  <c:v>175</c:v>
                </c:pt>
                <c:pt idx="9">
                  <c:v>175</c:v>
                </c:pt>
                <c:pt idx="10">
                  <c:v>175</c:v>
                </c:pt>
                <c:pt idx="11">
                  <c:v>175</c:v>
                </c:pt>
                <c:pt idx="12">
                  <c:v>175</c:v>
                </c:pt>
                <c:pt idx="13">
                  <c:v>175</c:v>
                </c:pt>
                <c:pt idx="14">
                  <c:v>175</c:v>
                </c:pt>
                <c:pt idx="15">
                  <c:v>166</c:v>
                </c:pt>
                <c:pt idx="16">
                  <c:v>166</c:v>
                </c:pt>
                <c:pt idx="17">
                  <c:v>166</c:v>
                </c:pt>
                <c:pt idx="18">
                  <c:v>166</c:v>
                </c:pt>
                <c:pt idx="19">
                  <c:v>166</c:v>
                </c:pt>
                <c:pt idx="20">
                  <c:v>166</c:v>
                </c:pt>
                <c:pt idx="21">
                  <c:v>166</c:v>
                </c:pt>
                <c:pt idx="22">
                  <c:v>152</c:v>
                </c:pt>
                <c:pt idx="23">
                  <c:v>152</c:v>
                </c:pt>
                <c:pt idx="24">
                  <c:v>152</c:v>
                </c:pt>
                <c:pt idx="25">
                  <c:v>152</c:v>
                </c:pt>
                <c:pt idx="26">
                  <c:v>152</c:v>
                </c:pt>
                <c:pt idx="27">
                  <c:v>152</c:v>
                </c:pt>
                <c:pt idx="28">
                  <c:v>152</c:v>
                </c:pt>
                <c:pt idx="29">
                  <c:v>157</c:v>
                </c:pt>
                <c:pt idx="30">
                  <c:v>157</c:v>
                </c:pt>
                <c:pt idx="31">
                  <c:v>157</c:v>
                </c:pt>
                <c:pt idx="32">
                  <c:v>157</c:v>
                </c:pt>
                <c:pt idx="33">
                  <c:v>157</c:v>
                </c:pt>
                <c:pt idx="34">
                  <c:v>157</c:v>
                </c:pt>
                <c:pt idx="35">
                  <c:v>174</c:v>
                </c:pt>
                <c:pt idx="36">
                  <c:v>174</c:v>
                </c:pt>
                <c:pt idx="37">
                  <c:v>174</c:v>
                </c:pt>
                <c:pt idx="38">
                  <c:v>174</c:v>
                </c:pt>
                <c:pt idx="39">
                  <c:v>174</c:v>
                </c:pt>
                <c:pt idx="40">
                  <c:v>174</c:v>
                </c:pt>
                <c:pt idx="41">
                  <c:v>174</c:v>
                </c:pt>
                <c:pt idx="42">
                  <c:v>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66-4BEF-8705-E3A6D3056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534767"/>
        <c:axId val="1"/>
      </c:lineChart>
      <c:catAx>
        <c:axId val="61353476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613534767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169290767495565"/>
          <c:y val="1.0741781340418719E-3"/>
          <c:w val="0.27363623678278542"/>
          <c:h val="9.5980858285284562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202406</xdr:colOff>
      <xdr:row>2</xdr:row>
      <xdr:rowOff>18350</xdr:rowOff>
    </xdr:from>
    <xdr:to>
      <xdr:col>45</xdr:col>
      <xdr:colOff>306917</xdr:colOff>
      <xdr:row>33</xdr:row>
      <xdr:rowOff>6587</xdr:rowOff>
    </xdr:to>
    <xdr:graphicFrame macro="">
      <xdr:nvGraphicFramePr>
        <xdr:cNvPr id="55603888" name="グラフ 7">
          <a:extLst>
            <a:ext uri="{FF2B5EF4-FFF2-40B4-BE49-F238E27FC236}">
              <a16:creationId xmlns:a16="http://schemas.microsoft.com/office/drawing/2014/main" id="{00000000-0008-0000-0000-0000B0725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178594</xdr:colOff>
      <xdr:row>42</xdr:row>
      <xdr:rowOff>24886</xdr:rowOff>
    </xdr:from>
    <xdr:to>
      <xdr:col>46</xdr:col>
      <xdr:colOff>0</xdr:colOff>
      <xdr:row>73</xdr:row>
      <xdr:rowOff>9727</xdr:rowOff>
    </xdr:to>
    <xdr:graphicFrame macro="">
      <xdr:nvGraphicFramePr>
        <xdr:cNvPr id="55603889" name="グラフ 10">
          <a:extLst>
            <a:ext uri="{FF2B5EF4-FFF2-40B4-BE49-F238E27FC236}">
              <a16:creationId xmlns:a16="http://schemas.microsoft.com/office/drawing/2014/main" id="{00000000-0008-0000-0000-0000B1725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190498</xdr:colOff>
      <xdr:row>82</xdr:row>
      <xdr:rowOff>35170</xdr:rowOff>
    </xdr:from>
    <xdr:to>
      <xdr:col>45</xdr:col>
      <xdr:colOff>306916</xdr:colOff>
      <xdr:row>112</xdr:row>
      <xdr:rowOff>159100</xdr:rowOff>
    </xdr:to>
    <xdr:graphicFrame macro="">
      <xdr:nvGraphicFramePr>
        <xdr:cNvPr id="55603890" name="グラフ 11">
          <a:extLst>
            <a:ext uri="{FF2B5EF4-FFF2-40B4-BE49-F238E27FC236}">
              <a16:creationId xmlns:a16="http://schemas.microsoft.com/office/drawing/2014/main" id="{00000000-0008-0000-0000-0000B2725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176893</xdr:colOff>
      <xdr:row>121</xdr:row>
      <xdr:rowOff>188610</xdr:rowOff>
    </xdr:from>
    <xdr:to>
      <xdr:col>45</xdr:col>
      <xdr:colOff>296334</xdr:colOff>
      <xdr:row>152</xdr:row>
      <xdr:rowOff>142940</xdr:rowOff>
    </xdr:to>
    <xdr:graphicFrame macro="">
      <xdr:nvGraphicFramePr>
        <xdr:cNvPr id="55603891" name="グラフ 12">
          <a:extLst>
            <a:ext uri="{FF2B5EF4-FFF2-40B4-BE49-F238E27FC236}">
              <a16:creationId xmlns:a16="http://schemas.microsoft.com/office/drawing/2014/main" id="{00000000-0008-0000-0000-0000B3725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0.0519</cdr:x>
      <cdr:y>0.01172</cdr:y>
    </cdr:from>
    <cdr:to>
      <cdr:x>0.09964</cdr:x>
      <cdr:y>0.06702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82433" y="61857"/>
          <a:ext cx="627785" cy="29189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0.91534</cdr:x>
      <cdr:y>0.0116</cdr:y>
    </cdr:from>
    <cdr:to>
      <cdr:x>0.95547</cdr:x>
      <cdr:y>0.06495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2036516" y="61251"/>
          <a:ext cx="527701" cy="28159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0.05017</cdr:x>
      <cdr:y>0.02233</cdr:y>
    </cdr:from>
    <cdr:to>
      <cdr:x>0.09851</cdr:x>
      <cdr:y>0.0708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57393" y="117223"/>
          <a:ext cx="633474" cy="25448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0.91607</cdr:x>
      <cdr:y>0.01109</cdr:y>
    </cdr:from>
    <cdr:to>
      <cdr:x>0.95604</cdr:x>
      <cdr:y>0.06537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2004707" y="58218"/>
          <a:ext cx="523789" cy="28499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0.05426</cdr:x>
      <cdr:y>0.02144</cdr:y>
    </cdr:from>
    <cdr:to>
      <cdr:x>0.10273</cdr:x>
      <cdr:y>0.07561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729749" y="109094"/>
          <a:ext cx="651845" cy="27571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0.91383</cdr:x>
      <cdr:y>0.02562</cdr:y>
    </cdr:from>
    <cdr:to>
      <cdr:x>0.95391</cdr:x>
      <cdr:y>0.0798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2289468" y="130419"/>
          <a:ext cx="538994" cy="27571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0.05949</cdr:x>
      <cdr:y>0.01896</cdr:y>
    </cdr:from>
    <cdr:to>
      <cdr:x>0.10807</cdr:x>
      <cdr:y>0.06669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798383" y="97802"/>
          <a:ext cx="651845" cy="24622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0.91445</cdr:x>
      <cdr:y>0.02426</cdr:y>
    </cdr:from>
    <cdr:to>
      <cdr:x>0.95462</cdr:x>
      <cdr:y>0.07771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3828973" y="124807"/>
          <a:ext cx="607476" cy="27502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</xdr:row>
      <xdr:rowOff>22487</xdr:rowOff>
    </xdr:from>
    <xdr:to>
      <xdr:col>46</xdr:col>
      <xdr:colOff>0</xdr:colOff>
      <xdr:row>33</xdr:row>
      <xdr:rowOff>630</xdr:rowOff>
    </xdr:to>
    <xdr:graphicFrame macro="">
      <xdr:nvGraphicFramePr>
        <xdr:cNvPr id="55600818" name="グラフ 1">
          <a:extLst>
            <a:ext uri="{FF2B5EF4-FFF2-40B4-BE49-F238E27FC236}">
              <a16:creationId xmlns:a16="http://schemas.microsoft.com/office/drawing/2014/main" id="{00000000-0008-0000-0100-0000B2665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154780</xdr:colOff>
      <xdr:row>42</xdr:row>
      <xdr:rowOff>28539</xdr:rowOff>
    </xdr:from>
    <xdr:to>
      <xdr:col>45</xdr:col>
      <xdr:colOff>296334</xdr:colOff>
      <xdr:row>73</xdr:row>
      <xdr:rowOff>6681</xdr:rowOff>
    </xdr:to>
    <xdr:graphicFrame macro="">
      <xdr:nvGraphicFramePr>
        <xdr:cNvPr id="55600819" name="グラフ 2">
          <a:extLst>
            <a:ext uri="{FF2B5EF4-FFF2-40B4-BE49-F238E27FC236}">
              <a16:creationId xmlns:a16="http://schemas.microsoft.com/office/drawing/2014/main" id="{00000000-0008-0000-0100-0000B3665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182559</xdr:colOff>
      <xdr:row>82</xdr:row>
      <xdr:rowOff>43125</xdr:rowOff>
    </xdr:from>
    <xdr:to>
      <xdr:col>45</xdr:col>
      <xdr:colOff>296334</xdr:colOff>
      <xdr:row>112</xdr:row>
      <xdr:rowOff>152400</xdr:rowOff>
    </xdr:to>
    <xdr:graphicFrame macro="">
      <xdr:nvGraphicFramePr>
        <xdr:cNvPr id="55600820" name="グラフ 3">
          <a:extLst>
            <a:ext uri="{FF2B5EF4-FFF2-40B4-BE49-F238E27FC236}">
              <a16:creationId xmlns:a16="http://schemas.microsoft.com/office/drawing/2014/main" id="{00000000-0008-0000-0100-0000B4665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178594</xdr:colOff>
      <xdr:row>122</xdr:row>
      <xdr:rowOff>20650</xdr:rowOff>
    </xdr:from>
    <xdr:to>
      <xdr:col>46</xdr:col>
      <xdr:colOff>10584</xdr:colOff>
      <xdr:row>152</xdr:row>
      <xdr:rowOff>138054</xdr:rowOff>
    </xdr:to>
    <xdr:graphicFrame macro="">
      <xdr:nvGraphicFramePr>
        <xdr:cNvPr id="55600821" name="グラフ 4">
          <a:extLst>
            <a:ext uri="{FF2B5EF4-FFF2-40B4-BE49-F238E27FC236}">
              <a16:creationId xmlns:a16="http://schemas.microsoft.com/office/drawing/2014/main" id="{00000000-0008-0000-0100-0000B5665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0.06138</cdr:x>
      <cdr:y>0.01435</cdr:y>
    </cdr:from>
    <cdr:to>
      <cdr:x>0.10987</cdr:x>
      <cdr:y>0.06219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825241" y="73855"/>
          <a:ext cx="651845" cy="24622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0.91841</cdr:x>
      <cdr:y>0.01198</cdr:y>
    </cdr:from>
    <cdr:to>
      <cdr:x>0.95901</cdr:x>
      <cdr:y>0.06506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32191" y="60374"/>
          <a:ext cx="527483" cy="26749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0.05871</cdr:x>
      <cdr:y>0.02447</cdr:y>
    </cdr:from>
    <cdr:to>
      <cdr:x>0.07407</cdr:x>
      <cdr:y>0.07486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41711" y="121849"/>
          <a:ext cx="206207" cy="24635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0.91306</cdr:x>
      <cdr:y>0.01907</cdr:y>
    </cdr:from>
    <cdr:to>
      <cdr:x>0.95346</cdr:x>
      <cdr:y>0.07372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35110" y="95950"/>
          <a:ext cx="528091" cy="27502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0.05481</cdr:x>
      <cdr:y>0.02679</cdr:y>
    </cdr:from>
    <cdr:to>
      <cdr:x>0.10421</cdr:x>
      <cdr:y>0.08094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715305" y="134160"/>
          <a:ext cx="644689" cy="27117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0.91476</cdr:x>
      <cdr:y>0.02288</cdr:y>
    </cdr:from>
    <cdr:to>
      <cdr:x>0.95658</cdr:x>
      <cdr:y>0.07874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37914" y="114580"/>
          <a:ext cx="545768" cy="27973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0.05529</cdr:x>
      <cdr:y>0.02376</cdr:y>
    </cdr:from>
    <cdr:to>
      <cdr:x>0.10374</cdr:x>
      <cdr:y>0.07823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743868" y="120223"/>
          <a:ext cx="651845" cy="27571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0.91991</cdr:x>
      <cdr:y>0.02576</cdr:y>
    </cdr:from>
    <cdr:to>
      <cdr:x>0.95998</cdr:x>
      <cdr:y>0.07187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2376075" y="130345"/>
          <a:ext cx="538994" cy="23339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100"/>
            </a:lnSpc>
          </a:pPr>
          <a:r>
            <a:rPr kumimoji="1" lang="ja-JP" altLang="en-US" sz="1100"/>
            <a:t>（トン）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457200</xdr:colOff>
      <xdr:row>11</xdr:row>
      <xdr:rowOff>68580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1280100" y="60761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bg1"/>
        </a:solidFill>
      </a:spPr>
      <a:bodyPr wrap="none" rtlCol="0" anchor="ctr">
        <a:noAutofit/>
      </a:bodyPr>
      <a:lstStyle>
        <a:defPPr>
          <a:defRPr kumimoji="1"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S160"/>
  <sheetViews>
    <sheetView showGridLines="0" zoomScale="90" zoomScaleNormal="90" zoomScaleSheetLayoutView="80" workbookViewId="0">
      <selection activeCell="AZ24" sqref="AZ24"/>
    </sheetView>
  </sheetViews>
  <sheetFormatPr defaultRowHeight="13.2" x14ac:dyDescent="0.2"/>
  <cols>
    <col min="1" max="1" width="11.109375" customWidth="1"/>
    <col min="2" max="37" width="4.109375" style="64" customWidth="1"/>
    <col min="38" max="44" width="4.21875" style="1" customWidth="1"/>
    <col min="45" max="45" width="4.21875" customWidth="1"/>
    <col min="46" max="48" width="4.109375" customWidth="1"/>
  </cols>
  <sheetData>
    <row r="1" spans="1:14" ht="15.6" x14ac:dyDescent="0.2">
      <c r="A1" s="10" t="s">
        <v>10</v>
      </c>
      <c r="B1" s="63"/>
      <c r="C1" s="63"/>
      <c r="D1" s="63"/>
      <c r="E1" s="63"/>
      <c r="F1" s="63"/>
      <c r="G1" s="63"/>
      <c r="H1" s="63"/>
      <c r="I1" s="63"/>
      <c r="J1" s="63"/>
      <c r="K1" s="63" t="str">
        <f>TEXT(集計表!$C$1,"(e.m/d～)")</f>
        <v>(8.6/1～)</v>
      </c>
      <c r="L1" s="63"/>
      <c r="M1" s="63"/>
      <c r="N1" s="63"/>
    </row>
    <row r="2" spans="1:14" ht="15.6" x14ac:dyDescent="0.2">
      <c r="A2" s="10" t="s">
        <v>12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12" spans="1:14" ht="13.5" customHeight="1" x14ac:dyDescent="0.2"/>
    <row r="13" spans="1:14" ht="13.5" customHeight="1" x14ac:dyDescent="0.2"/>
    <row r="14" spans="1:14" ht="13.5" customHeight="1" x14ac:dyDescent="0.2"/>
    <row r="15" spans="1:14" ht="13.5" customHeight="1" x14ac:dyDescent="0.2"/>
    <row r="20" spans="35:35" x14ac:dyDescent="0.2">
      <c r="AI20" s="64">
        <v>260</v>
      </c>
    </row>
    <row r="30" spans="35:35" ht="12.75" customHeight="1" x14ac:dyDescent="0.2"/>
    <row r="31" spans="35:35" ht="12.75" customHeight="1" x14ac:dyDescent="0.2"/>
    <row r="32" spans="35:35" ht="12.75" customHeight="1" x14ac:dyDescent="0.2"/>
    <row r="33" spans="1:45" ht="12.6" customHeight="1" x14ac:dyDescent="0.2">
      <c r="AJ33" s="65"/>
      <c r="AK33" s="65"/>
      <c r="AL33" s="2"/>
      <c r="AM33" s="2"/>
      <c r="AN33" s="2"/>
      <c r="AO33" s="2"/>
      <c r="AP33" s="2"/>
      <c r="AQ33" s="2"/>
      <c r="AR33" s="2"/>
    </row>
    <row r="34" spans="1:45" s="31" customFormat="1" ht="15.9" customHeight="1" x14ac:dyDescent="0.2">
      <c r="B34" s="66"/>
      <c r="C34" s="66"/>
      <c r="D34" s="67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7"/>
      <c r="S34" s="66"/>
      <c r="T34" s="66"/>
      <c r="U34" s="66"/>
      <c r="V34" s="66"/>
      <c r="W34" s="67"/>
      <c r="X34" s="66"/>
      <c r="Y34" s="66"/>
      <c r="Z34" s="66"/>
      <c r="AA34" s="67"/>
      <c r="AB34" s="66"/>
      <c r="AC34" s="66"/>
      <c r="AD34" s="66"/>
      <c r="AE34" s="66"/>
      <c r="AF34" s="66"/>
      <c r="AG34" s="66"/>
      <c r="AH34" s="66"/>
      <c r="AI34" s="66"/>
      <c r="AJ34" s="68"/>
      <c r="AL34" s="30"/>
      <c r="AM34" s="30"/>
      <c r="AN34" s="34"/>
      <c r="AO34" s="30"/>
      <c r="AP34" s="30"/>
      <c r="AQ34" s="30"/>
      <c r="AR34" s="30"/>
    </row>
    <row r="35" spans="1:45" ht="12.75" customHeight="1" x14ac:dyDescent="0.2">
      <c r="A35" s="48">
        <f>集計表!C1</f>
        <v>46174</v>
      </c>
      <c r="B35" s="69" t="str">
        <f>集計表!D1</f>
        <v>6/1</v>
      </c>
      <c r="C35" s="70" t="str">
        <f>集計表!E1</f>
        <v>2</v>
      </c>
      <c r="D35" s="70" t="str">
        <f>集計表!F1</f>
        <v>4</v>
      </c>
      <c r="E35" s="70" t="str">
        <f>集計表!G1</f>
        <v>5</v>
      </c>
      <c r="F35" s="70" t="str">
        <f>集計表!H1</f>
        <v>6</v>
      </c>
      <c r="G35" s="70" t="str">
        <f>集計表!I1</f>
        <v>8</v>
      </c>
      <c r="H35" s="70" t="str">
        <f>集計表!J1</f>
        <v>9</v>
      </c>
      <c r="I35" s="70" t="str">
        <f>集計表!K1</f>
        <v>11</v>
      </c>
      <c r="J35" s="70" t="str">
        <f>集計表!L1</f>
        <v>12</v>
      </c>
      <c r="K35" s="70" t="str">
        <f>集計表!M1</f>
        <v>13</v>
      </c>
      <c r="L35" s="70" t="str">
        <f>集計表!N1</f>
        <v>15</v>
      </c>
      <c r="M35" s="70" t="str">
        <f>集計表!O1</f>
        <v>16</v>
      </c>
      <c r="N35" s="70" t="str">
        <f>集計表!P1</f>
        <v>18</v>
      </c>
      <c r="O35" s="70" t="str">
        <f>集計表!Q1</f>
        <v>19</v>
      </c>
      <c r="P35" s="70" t="str">
        <f>集計表!R1</f>
        <v>20</v>
      </c>
      <c r="Q35" s="70" t="str">
        <f>集計表!S1</f>
        <v>22</v>
      </c>
      <c r="R35" s="70" t="str">
        <f>集計表!T1</f>
        <v>23</v>
      </c>
      <c r="S35" s="70" t="str">
        <f>集計表!U1</f>
        <v>25</v>
      </c>
      <c r="T35" s="70" t="str">
        <f>集計表!V1</f>
        <v>26</v>
      </c>
      <c r="U35" s="71" t="str">
        <f>集計表!W1</f>
        <v>27</v>
      </c>
      <c r="V35" s="70" t="str">
        <f>集計表!X1</f>
        <v>29</v>
      </c>
      <c r="W35" s="70" t="str">
        <f>集計表!Y1</f>
        <v>30</v>
      </c>
      <c r="X35" s="70" t="str">
        <f>集計表!Z1</f>
        <v>7/2</v>
      </c>
      <c r="Y35" s="70" t="str">
        <f>集計表!AA1</f>
        <v>3</v>
      </c>
      <c r="Z35" s="70" t="str">
        <f>集計表!AB1</f>
        <v>4</v>
      </c>
      <c r="AA35" s="70" t="str">
        <f>集計表!AC1</f>
        <v>6</v>
      </c>
      <c r="AB35" s="70" t="str">
        <f>集計表!AD1</f>
        <v>7</v>
      </c>
      <c r="AC35" s="70" t="str">
        <f>集計表!AE1</f>
        <v>9</v>
      </c>
      <c r="AD35" s="70" t="str">
        <f>集計表!AF1</f>
        <v>10</v>
      </c>
      <c r="AE35" s="70" t="str">
        <f>集計表!AG1</f>
        <v>11</v>
      </c>
      <c r="AF35" s="70" t="str">
        <f>集計表!AH1</f>
        <v>13</v>
      </c>
      <c r="AG35" s="70" t="str">
        <f>集計表!AI1</f>
        <v>14</v>
      </c>
      <c r="AH35" s="70" t="str">
        <f>集計表!AJ1</f>
        <v>16</v>
      </c>
      <c r="AI35" s="70" t="str">
        <f>集計表!AK1</f>
        <v>17</v>
      </c>
      <c r="AJ35" s="70" t="str">
        <f>集計表!AL1</f>
        <v>18</v>
      </c>
      <c r="AK35" s="70" t="str">
        <f>集計表!AM1</f>
        <v>21</v>
      </c>
      <c r="AL35" s="50" t="str">
        <f>集計表!AN1</f>
        <v>23</v>
      </c>
      <c r="AM35" s="50" t="str">
        <f>集計表!AO1</f>
        <v>24</v>
      </c>
      <c r="AN35" s="50" t="str">
        <f>集計表!AP1</f>
        <v>25</v>
      </c>
      <c r="AO35" s="50" t="str">
        <f>集計表!AQ1</f>
        <v>27</v>
      </c>
      <c r="AP35" s="50" t="str">
        <f>集計表!AR1</f>
        <v>28</v>
      </c>
      <c r="AQ35" s="50" t="str">
        <f>集計表!AS1</f>
        <v>30</v>
      </c>
      <c r="AR35" s="50" t="str">
        <f>集計表!AT1</f>
        <v>31</v>
      </c>
    </row>
    <row r="36" spans="1:45" ht="12.75" customHeight="1" x14ac:dyDescent="0.2">
      <c r="A36" s="51" t="s">
        <v>0</v>
      </c>
      <c r="B36" s="72">
        <f>IF(集計表!D3="","",集計表!D3)</f>
        <v>4.2930000000000001</v>
      </c>
      <c r="C36" s="72">
        <f>IF(集計表!E3="","",集計表!E3)</f>
        <v>4.2510000000000003</v>
      </c>
      <c r="D36" s="72">
        <f>IF(集計表!F3="","",集計表!F3)</f>
        <v>3.4279999999999999</v>
      </c>
      <c r="E36" s="72">
        <f>IF(集計表!G3="","",集計表!G3)</f>
        <v>2.7109999999999999</v>
      </c>
      <c r="F36" s="72">
        <f>IF(集計表!H3="","",集計表!H3)</f>
        <v>2.5870000000000002</v>
      </c>
      <c r="G36" s="72">
        <f>IF(集計表!I3="","",集計表!I3)</f>
        <v>6.1219999999999999</v>
      </c>
      <c r="H36" s="72">
        <f>IF(集計表!J3="","",集計表!J3)</f>
        <v>3.6709999999999998</v>
      </c>
      <c r="I36" s="72">
        <f>IF(集計表!K3="","",集計表!K3)</f>
        <v>5.5949999999999998</v>
      </c>
      <c r="J36" s="72">
        <f>IF(集計表!L3="","",集計表!L3)</f>
        <v>2.3460000000000001</v>
      </c>
      <c r="K36" s="72">
        <f>IF(集計表!M3="","",集計表!M3)</f>
        <v>3.7290000000000001</v>
      </c>
      <c r="L36" s="72">
        <f>IF(集計表!N3="","",集計表!N3)</f>
        <v>3.8679999999999999</v>
      </c>
      <c r="M36" s="72">
        <f>IF(集計表!O3="","",集計表!O3)</f>
        <v>3.0680000000000001</v>
      </c>
      <c r="N36" s="72">
        <f>IF(集計表!P3="","",集計表!P3)</f>
        <v>2.9910000000000001</v>
      </c>
      <c r="O36" s="72">
        <f>IF(集計表!Q3="","",集計表!Q3)</f>
        <v>2.42</v>
      </c>
      <c r="P36" s="72">
        <f>IF(集計表!R3="","",集計表!R3)</f>
        <v>2.419</v>
      </c>
      <c r="Q36" s="72">
        <f>IF(集計表!S3="","",集計表!S3)</f>
        <v>1.7050000000000001</v>
      </c>
      <c r="R36" s="72">
        <f>IF(集計表!T3="","",集計表!T3)</f>
        <v>2.5609999999999999</v>
      </c>
      <c r="S36" s="72">
        <f>IF(集計表!U3="","",集計表!U3)</f>
        <v>3.6669999999999998</v>
      </c>
      <c r="T36" s="72">
        <f>IF(集計表!V3="","",集計表!V3)</f>
        <v>2.859</v>
      </c>
      <c r="U36" s="73">
        <f>IF(集計表!W3="","",集計表!W3)</f>
        <v>3.093</v>
      </c>
      <c r="V36" s="72">
        <f>IF(集計表!X3="","",集計表!X3)</f>
        <v>2.573</v>
      </c>
      <c r="W36" s="72">
        <f>IF(集計表!Y3="","",集計表!Y3)</f>
        <v>1.5920000000000001</v>
      </c>
      <c r="X36" s="72">
        <f>IF(集計表!Z3="","",集計表!Z3)</f>
        <v>3.758</v>
      </c>
      <c r="Y36" s="72">
        <f>IF(集計表!AA3="","",集計表!AA3)</f>
        <v>2.7490000000000001</v>
      </c>
      <c r="Z36" s="72">
        <f>IF(集計表!AB3="","",集計表!AB3)</f>
        <v>2.69</v>
      </c>
      <c r="AA36" s="72">
        <f>IF(集計表!AC3="","",集計表!AC3)</f>
        <v>3.8519999999999999</v>
      </c>
      <c r="AB36" s="72">
        <f>IF(集計表!AD3="","",集計表!AD3)</f>
        <v>3.165</v>
      </c>
      <c r="AC36" s="72" t="str">
        <f>IF(集計表!AE3="","",集計表!AE3)</f>
        <v/>
      </c>
      <c r="AD36" s="72" t="str">
        <f>IF(集計表!AF3="","",集計表!AF3)</f>
        <v/>
      </c>
      <c r="AE36" s="72" t="str">
        <f>IF(集計表!AG3="","",集計表!AG3)</f>
        <v/>
      </c>
      <c r="AF36" s="72" t="str">
        <f>IF(集計表!AH3="","",集計表!AH3)</f>
        <v/>
      </c>
      <c r="AG36" s="72" t="str">
        <f>IF(集計表!AI3="","",集計表!AI3)</f>
        <v/>
      </c>
      <c r="AH36" s="72" t="str">
        <f>IF(集計表!AJ3="","",集計表!AJ3)</f>
        <v/>
      </c>
      <c r="AI36" s="72" t="str">
        <f>IF(集計表!AK3="","",集計表!AK3)</f>
        <v/>
      </c>
      <c r="AJ36" s="72" t="str">
        <f>IF(集計表!AL3="","",集計表!AL3)</f>
        <v/>
      </c>
      <c r="AK36" s="72" t="str">
        <f>IF(集計表!AM3="","",集計表!AM3)</f>
        <v/>
      </c>
      <c r="AL36" s="23" t="str">
        <f>IF(集計表!AN3="","",集計表!AN3)</f>
        <v/>
      </c>
      <c r="AM36" s="23" t="str">
        <f>IF(集計表!AO3="","",集計表!AO3)</f>
        <v/>
      </c>
      <c r="AN36" s="23" t="str">
        <f>IF(集計表!AP3="","",集計表!AP3)</f>
        <v/>
      </c>
      <c r="AO36" s="23" t="str">
        <f>IF(集計表!AQ3="","",集計表!AQ3)</f>
        <v/>
      </c>
      <c r="AP36" s="23" t="str">
        <f>IF(集計表!AR3="","",集計表!AR3)</f>
        <v/>
      </c>
      <c r="AQ36" s="23" t="str">
        <f>IF(集計表!AS3="","",集計表!AS3)</f>
        <v/>
      </c>
      <c r="AR36" s="23" t="str">
        <f>IF(集計表!AT3="","",集計表!AT3)</f>
        <v/>
      </c>
    </row>
    <row r="37" spans="1:45" ht="12.75" customHeight="1" x14ac:dyDescent="0.2">
      <c r="A37" s="51" t="s">
        <v>1</v>
      </c>
      <c r="B37" s="72">
        <f>IF(集計表!D4=0,NA(),集計表!D4)</f>
        <v>497</v>
      </c>
      <c r="C37" s="72">
        <f>IF(集計表!E4=0,NA(),集計表!E4)</f>
        <v>534</v>
      </c>
      <c r="D37" s="72">
        <f>IF(集計表!F4=0,NA(),集計表!F4)</f>
        <v>525</v>
      </c>
      <c r="E37" s="72">
        <f>IF(集計表!G4=0,NA(),集計表!G4)</f>
        <v>450</v>
      </c>
      <c r="F37" s="72">
        <f>IF(集計表!H4=0,NA(),集計表!H4)</f>
        <v>506</v>
      </c>
      <c r="G37" s="72">
        <f>IF(集計表!I4=0,NA(),集計表!I4)</f>
        <v>554</v>
      </c>
      <c r="H37" s="72">
        <f>IF(集計表!J4=0,NA(),集計表!J4)</f>
        <v>560</v>
      </c>
      <c r="I37" s="72">
        <f>IF(集計表!K4=0,NA(),集計表!K4)</f>
        <v>544</v>
      </c>
      <c r="J37" s="72">
        <f>IF(集計表!L4=0,NA(),集計表!L4)</f>
        <v>548</v>
      </c>
      <c r="K37" s="72">
        <f>IF(集計表!M4=0,NA(),集計表!M4)</f>
        <v>598</v>
      </c>
      <c r="L37" s="72">
        <f>IF(集計表!N4=0,NA(),集計表!N4)</f>
        <v>611</v>
      </c>
      <c r="M37" s="72">
        <f>IF(集計表!O4=0,NA(),集計表!O4)</f>
        <v>539</v>
      </c>
      <c r="N37" s="72">
        <f>IF(集計表!P4=0,NA(),集計表!P4)</f>
        <v>528</v>
      </c>
      <c r="O37" s="72">
        <f>IF(集計表!Q4=0,NA(),集計表!Q4)</f>
        <v>526</v>
      </c>
      <c r="P37" s="72">
        <f>IF(集計表!R4=0,NA(),集計表!R4)</f>
        <v>643</v>
      </c>
      <c r="Q37" s="72">
        <f>IF(集計表!S4=0,NA(),集計表!S4)</f>
        <v>636</v>
      </c>
      <c r="R37" s="72">
        <f>IF(集計表!T4=0,NA(),集計表!T4)</f>
        <v>545</v>
      </c>
      <c r="S37" s="72">
        <f>IF(集計表!U4=0,NA(),集計表!U4)</f>
        <v>656</v>
      </c>
      <c r="T37" s="72">
        <f>IF(集計表!V4=0,NA(),集計表!V4)</f>
        <v>667</v>
      </c>
      <c r="U37" s="73">
        <f>IF(集計表!W4=0,NA(),集計表!W4)</f>
        <v>670</v>
      </c>
      <c r="V37" s="72">
        <f>IF(集計表!X4=0,NA(),集計表!X4)</f>
        <v>659</v>
      </c>
      <c r="W37" s="72">
        <f>IF(集計表!Y4=0,NA(),集計表!Y4)</f>
        <v>657</v>
      </c>
      <c r="X37" s="72">
        <f>IF(集計表!Z4=0,NA(),集計表!Z4)</f>
        <v>698</v>
      </c>
      <c r="Y37" s="72">
        <f>IF(集計表!AA4=0,NA(),集計表!AA4)</f>
        <v>718</v>
      </c>
      <c r="Z37" s="72">
        <f>IF(集計表!AB4=0,NA(),集計表!AB4)</f>
        <v>694</v>
      </c>
      <c r="AA37" s="72">
        <f>IF(集計表!AC4=0,NA(),集計表!AC4)</f>
        <v>673</v>
      </c>
      <c r="AB37" s="72">
        <f>IF(集計表!AD4=0,NA(),集計表!AD4)</f>
        <v>578</v>
      </c>
      <c r="AC37" s="72" t="e">
        <f>IF(集計表!AE4=0,NA(),集計表!AE4)</f>
        <v>#N/A</v>
      </c>
      <c r="AD37" s="72" t="e">
        <f>IF(集計表!AF4=0,NA(),集計表!AF4)</f>
        <v>#N/A</v>
      </c>
      <c r="AE37" s="72" t="e">
        <f>IF(集計表!AG4=0,NA(),集計表!AG4)</f>
        <v>#N/A</v>
      </c>
      <c r="AF37" s="72" t="e">
        <f>IF(集計表!AH4=0,NA(),集計表!AH4)</f>
        <v>#N/A</v>
      </c>
      <c r="AG37" s="72" t="e">
        <f>IF(集計表!AI4=0,NA(),集計表!AI4)</f>
        <v>#N/A</v>
      </c>
      <c r="AH37" s="72" t="e">
        <f>IF(集計表!AJ4=0,NA(),集計表!AJ4)</f>
        <v>#N/A</v>
      </c>
      <c r="AI37" s="72" t="e">
        <f>IF(集計表!AK4=0,NA(),集計表!AK4)</f>
        <v>#N/A</v>
      </c>
      <c r="AJ37" s="72" t="e">
        <f>IF(集計表!AL4=0,NA(),集計表!AL4)</f>
        <v>#N/A</v>
      </c>
      <c r="AK37" s="72" t="e">
        <f>IF(集計表!AM4=0,NA(),集計表!AM4)</f>
        <v>#N/A</v>
      </c>
      <c r="AL37" s="23" t="e">
        <f>IF(集計表!AN4=0,NA(),集計表!AN4)</f>
        <v>#N/A</v>
      </c>
      <c r="AM37" s="23" t="e">
        <f>IF(集計表!AO4=0,NA(),集計表!AO4)</f>
        <v>#N/A</v>
      </c>
      <c r="AN37" s="23" t="e">
        <f>IF(集計表!AP4=0,NA(),集計表!AP4)</f>
        <v>#N/A</v>
      </c>
      <c r="AO37" s="23" t="e">
        <f>IF(集計表!AQ4=0,NA(),集計表!AQ4)</f>
        <v>#N/A</v>
      </c>
      <c r="AP37" s="23" t="e">
        <f>IF(集計表!AR4=0,NA(),集計表!AR4)</f>
        <v>#N/A</v>
      </c>
      <c r="AQ37" s="23" t="e">
        <f>IF(集計表!AS4=0,NA(),集計表!AS4)</f>
        <v>#N/A</v>
      </c>
      <c r="AR37" s="23" t="e">
        <f>IF(集計表!AT4=0,NA(),集計表!AT4)</f>
        <v>#N/A</v>
      </c>
    </row>
    <row r="38" spans="1:45" ht="12.75" customHeight="1" x14ac:dyDescent="0.2">
      <c r="A38" s="51" t="s">
        <v>2</v>
      </c>
      <c r="B38" s="72">
        <f>集計表!D5</f>
        <v>571</v>
      </c>
      <c r="C38" s="72">
        <f>集計表!E5</f>
        <v>571</v>
      </c>
      <c r="D38" s="72">
        <f>集計表!F5</f>
        <v>571</v>
      </c>
      <c r="E38" s="72">
        <f>集計表!G5</f>
        <v>571</v>
      </c>
      <c r="F38" s="72">
        <f>集計表!H5</f>
        <v>571</v>
      </c>
      <c r="G38" s="72">
        <f>集計表!I5</f>
        <v>571</v>
      </c>
      <c r="H38" s="72">
        <f>集計表!J5</f>
        <v>571</v>
      </c>
      <c r="I38" s="72">
        <f>集計表!K5</f>
        <v>621</v>
      </c>
      <c r="J38" s="72">
        <f>集計表!L5</f>
        <v>621</v>
      </c>
      <c r="K38" s="72">
        <f>集計表!M5</f>
        <v>621</v>
      </c>
      <c r="L38" s="72">
        <f>集計表!N5</f>
        <v>621</v>
      </c>
      <c r="M38" s="72">
        <f>集計表!O5</f>
        <v>621</v>
      </c>
      <c r="N38" s="72">
        <f>集計表!P5</f>
        <v>621</v>
      </c>
      <c r="O38" s="72">
        <f>集計表!Q5</f>
        <v>621</v>
      </c>
      <c r="P38" s="72">
        <f>集計表!R5</f>
        <v>621</v>
      </c>
      <c r="Q38" s="72">
        <f>集計表!S5</f>
        <v>556</v>
      </c>
      <c r="R38" s="72">
        <f>集計表!T5</f>
        <v>556</v>
      </c>
      <c r="S38" s="72">
        <f>集計表!U5</f>
        <v>556</v>
      </c>
      <c r="T38" s="72">
        <f>集計表!V5</f>
        <v>556</v>
      </c>
      <c r="U38" s="73">
        <f>集計表!W5</f>
        <v>556</v>
      </c>
      <c r="V38" s="72">
        <f>集計表!X5</f>
        <v>556</v>
      </c>
      <c r="W38" s="72">
        <f>集計表!Y5</f>
        <v>556</v>
      </c>
      <c r="X38" s="72">
        <f>集計表!Z5</f>
        <v>513</v>
      </c>
      <c r="Y38" s="72">
        <f>集計表!AA5</f>
        <v>513</v>
      </c>
      <c r="Z38" s="72">
        <f>集計表!AB5</f>
        <v>513</v>
      </c>
      <c r="AA38" s="72">
        <f>集計表!AC5</f>
        <v>513</v>
      </c>
      <c r="AB38" s="72">
        <f>集計表!AD5</f>
        <v>513</v>
      </c>
      <c r="AC38" s="72">
        <f>集計表!AE5</f>
        <v>513</v>
      </c>
      <c r="AD38" s="72">
        <f>集計表!AF5</f>
        <v>513</v>
      </c>
      <c r="AE38" s="72">
        <f>集計表!AG5</f>
        <v>420</v>
      </c>
      <c r="AF38" s="72">
        <f>集計表!AH5</f>
        <v>420</v>
      </c>
      <c r="AG38" s="72">
        <f>集計表!AI5</f>
        <v>420</v>
      </c>
      <c r="AH38" s="72">
        <f>集計表!AJ5</f>
        <v>420</v>
      </c>
      <c r="AI38" s="72">
        <f>集計表!AK5</f>
        <v>420</v>
      </c>
      <c r="AJ38" s="72">
        <f>集計表!AL5</f>
        <v>420</v>
      </c>
      <c r="AK38" s="72">
        <f>集計表!AM5</f>
        <v>441</v>
      </c>
      <c r="AL38" s="23">
        <f>集計表!AN5</f>
        <v>441</v>
      </c>
      <c r="AM38" s="23">
        <f>集計表!AO5</f>
        <v>441</v>
      </c>
      <c r="AN38" s="23">
        <f>集計表!AP5</f>
        <v>441</v>
      </c>
      <c r="AO38" s="23">
        <f>集計表!AQ5</f>
        <v>441</v>
      </c>
      <c r="AP38" s="23">
        <f>集計表!AR5</f>
        <v>441</v>
      </c>
      <c r="AQ38" s="23">
        <f>集計表!AS5</f>
        <v>441</v>
      </c>
      <c r="AR38" s="23">
        <f>集計表!AT5</f>
        <v>441</v>
      </c>
    </row>
    <row r="39" spans="1:45" ht="12.75" customHeight="1" x14ac:dyDescent="0.2">
      <c r="A39" s="52" t="s">
        <v>20</v>
      </c>
      <c r="B39" s="46">
        <f>IFERROR(B37/B38, "")</f>
        <v>0.87040280210157617</v>
      </c>
      <c r="C39" s="47">
        <f t="shared" ref="C39:AM39" si="0">IFERROR(C37/C38, "")</f>
        <v>0.93520140105078808</v>
      </c>
      <c r="D39" s="46">
        <f t="shared" si="0"/>
        <v>0.91943957968476353</v>
      </c>
      <c r="E39" s="46">
        <f t="shared" si="0"/>
        <v>0.78809106830122588</v>
      </c>
      <c r="F39" s="46">
        <f t="shared" si="0"/>
        <v>0.88616462346760072</v>
      </c>
      <c r="G39" s="46">
        <f t="shared" si="0"/>
        <v>0.97022767075306482</v>
      </c>
      <c r="H39" s="47">
        <f t="shared" si="0"/>
        <v>0.98073555166374782</v>
      </c>
      <c r="I39" s="46">
        <f t="shared" si="0"/>
        <v>0.87600644122383253</v>
      </c>
      <c r="J39" s="46">
        <f t="shared" si="0"/>
        <v>0.88244766505636074</v>
      </c>
      <c r="K39" s="46">
        <f t="shared" si="0"/>
        <v>0.96296296296296291</v>
      </c>
      <c r="L39" s="46">
        <f t="shared" si="0"/>
        <v>0.98389694041867959</v>
      </c>
      <c r="M39" s="46">
        <f t="shared" si="0"/>
        <v>0.86795491143317227</v>
      </c>
      <c r="N39" s="46">
        <f t="shared" si="0"/>
        <v>0.85024154589371981</v>
      </c>
      <c r="O39" s="46">
        <f t="shared" si="0"/>
        <v>0.8470209339774557</v>
      </c>
      <c r="P39" s="46">
        <f t="shared" si="0"/>
        <v>1.0354267310789049</v>
      </c>
      <c r="Q39" s="47">
        <f t="shared" si="0"/>
        <v>1.1438848920863309</v>
      </c>
      <c r="R39" s="47">
        <f t="shared" si="0"/>
        <v>0.98021582733812951</v>
      </c>
      <c r="S39" s="46">
        <f t="shared" si="0"/>
        <v>1.1798561151079137</v>
      </c>
      <c r="T39" s="46">
        <f t="shared" si="0"/>
        <v>1.1996402877697843</v>
      </c>
      <c r="U39" s="46">
        <f t="shared" si="0"/>
        <v>1.2050359712230216</v>
      </c>
      <c r="V39" s="46">
        <f t="shared" si="0"/>
        <v>1.185251798561151</v>
      </c>
      <c r="W39" s="46">
        <f t="shared" si="0"/>
        <v>1.1816546762589928</v>
      </c>
      <c r="X39" s="46">
        <f t="shared" si="0"/>
        <v>1.3606237816764133</v>
      </c>
      <c r="Y39" s="46">
        <f t="shared" si="0"/>
        <v>1.3996101364522417</v>
      </c>
      <c r="Z39" s="47">
        <f t="shared" si="0"/>
        <v>1.3528265107212476</v>
      </c>
      <c r="AA39" s="46">
        <f t="shared" si="0"/>
        <v>1.3118908382066277</v>
      </c>
      <c r="AB39" s="46">
        <f t="shared" si="0"/>
        <v>1.1267056530214425</v>
      </c>
      <c r="AC39" s="46" t="str">
        <f t="shared" si="0"/>
        <v/>
      </c>
      <c r="AD39" s="47" t="str">
        <f t="shared" si="0"/>
        <v/>
      </c>
      <c r="AE39" s="46" t="str">
        <f t="shared" si="0"/>
        <v/>
      </c>
      <c r="AF39" s="46" t="str">
        <f t="shared" si="0"/>
        <v/>
      </c>
      <c r="AG39" s="46" t="str">
        <f t="shared" si="0"/>
        <v/>
      </c>
      <c r="AH39" s="46" t="str">
        <f t="shared" si="0"/>
        <v/>
      </c>
      <c r="AI39" s="46" t="str">
        <f t="shared" si="0"/>
        <v/>
      </c>
      <c r="AJ39" s="46" t="str">
        <f t="shared" si="0"/>
        <v/>
      </c>
      <c r="AK39" s="46" t="str">
        <f t="shared" si="0"/>
        <v/>
      </c>
      <c r="AL39" s="47" t="str">
        <f t="shared" si="0"/>
        <v/>
      </c>
      <c r="AM39" s="47" t="str">
        <f t="shared" si="0"/>
        <v/>
      </c>
      <c r="AN39" s="47" t="str">
        <f t="shared" ref="AN39:AO39" si="1">IFERROR(AN37/AN38, "")</f>
        <v/>
      </c>
      <c r="AO39" s="47" t="str">
        <f t="shared" si="1"/>
        <v/>
      </c>
      <c r="AP39" s="47" t="str">
        <f t="shared" ref="AP39:AQ39" si="2">IFERROR(AP37/AP38, "")</f>
        <v/>
      </c>
      <c r="AQ39" s="47" t="str">
        <f t="shared" si="2"/>
        <v/>
      </c>
      <c r="AR39" s="47" t="str">
        <f t="shared" ref="AR39" si="3">IFERROR(AR37/AR38, "")</f>
        <v/>
      </c>
    </row>
    <row r="40" spans="1:45" s="25" customFormat="1" ht="30" customHeight="1" x14ac:dyDescent="0.2">
      <c r="A40" s="25" t="s">
        <v>23</v>
      </c>
      <c r="B40" s="74"/>
      <c r="C40" s="74"/>
      <c r="D40" s="75"/>
      <c r="E40" s="74"/>
      <c r="F40" s="76"/>
      <c r="G40" s="74"/>
      <c r="H40" s="74"/>
      <c r="I40" s="74"/>
      <c r="J40" s="74"/>
      <c r="K40" s="77"/>
      <c r="L40" s="74"/>
      <c r="M40" s="77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26"/>
      <c r="AM40" s="26"/>
      <c r="AN40" s="26"/>
      <c r="AO40" s="26"/>
      <c r="AQ40"/>
      <c r="AR40"/>
      <c r="AS40"/>
    </row>
    <row r="41" spans="1:45" ht="15.6" x14ac:dyDescent="0.2">
      <c r="A41" s="10" t="s">
        <v>10</v>
      </c>
      <c r="B41" s="63"/>
      <c r="C41" s="63"/>
      <c r="D41" s="63"/>
      <c r="E41" s="63"/>
      <c r="F41" s="63"/>
      <c r="G41" s="63"/>
      <c r="H41" s="63"/>
      <c r="I41" s="63"/>
      <c r="J41" s="63"/>
      <c r="K41" s="63" t="str">
        <f>TEXT(集計表!$C$1,"(e.m/d～)")</f>
        <v>(8.6/1～)</v>
      </c>
      <c r="L41" s="63"/>
      <c r="M41" s="63"/>
      <c r="N41" s="63"/>
    </row>
    <row r="42" spans="1:45" ht="15.6" x14ac:dyDescent="0.2">
      <c r="A42" s="10" t="s">
        <v>13</v>
      </c>
      <c r="B42" s="63"/>
      <c r="C42" s="63"/>
      <c r="D42" s="63"/>
      <c r="E42" s="63"/>
      <c r="F42" s="63"/>
      <c r="G42" s="63"/>
      <c r="H42" s="63"/>
      <c r="I42" s="63"/>
      <c r="J42" s="63"/>
    </row>
    <row r="43" spans="1:45" ht="13.5" customHeight="1" x14ac:dyDescent="0.2"/>
    <row r="44" spans="1:45" ht="13.5" customHeight="1" x14ac:dyDescent="0.2"/>
    <row r="45" spans="1:45" ht="13.5" customHeight="1" x14ac:dyDescent="0.2"/>
    <row r="46" spans="1:45" ht="13.5" customHeight="1" x14ac:dyDescent="0.2"/>
    <row r="47" spans="1:45" ht="13.5" customHeight="1" x14ac:dyDescent="0.2"/>
    <row r="48" spans="1:45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spans="1:44" ht="13.5" customHeight="1" x14ac:dyDescent="0.2"/>
    <row r="66" spans="1:44" ht="13.5" customHeight="1" x14ac:dyDescent="0.2"/>
    <row r="67" spans="1:44" ht="13.5" customHeight="1" x14ac:dyDescent="0.2"/>
    <row r="68" spans="1:44" ht="13.5" customHeight="1" x14ac:dyDescent="0.2"/>
    <row r="69" spans="1:44" ht="13.5" customHeight="1" x14ac:dyDescent="0.2"/>
    <row r="70" spans="1:44" ht="13.5" customHeight="1" x14ac:dyDescent="0.2"/>
    <row r="71" spans="1:44" ht="13.5" customHeight="1" x14ac:dyDescent="0.2"/>
    <row r="72" spans="1:44" ht="13.5" customHeight="1" x14ac:dyDescent="0.2"/>
    <row r="73" spans="1:44" ht="13.5" customHeight="1" x14ac:dyDescent="0.2"/>
    <row r="74" spans="1:44" s="31" customFormat="1" ht="16.2" customHeight="1" x14ac:dyDescent="0.2">
      <c r="B74" s="66"/>
      <c r="C74" s="66"/>
      <c r="D74" s="67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7"/>
      <c r="S74" s="66"/>
      <c r="T74" s="66"/>
      <c r="U74" s="66"/>
      <c r="V74" s="66"/>
      <c r="W74" s="66"/>
      <c r="X74" s="66"/>
      <c r="Y74" s="66"/>
      <c r="Z74" s="66"/>
      <c r="AA74" s="67"/>
      <c r="AB74" s="66"/>
      <c r="AC74" s="66"/>
      <c r="AD74" s="66"/>
      <c r="AE74" s="66"/>
      <c r="AF74" s="66"/>
      <c r="AG74" s="66"/>
      <c r="AH74" s="66"/>
      <c r="AI74" s="66"/>
      <c r="AJ74" s="68"/>
      <c r="AL74" s="30"/>
      <c r="AM74" s="30"/>
      <c r="AN74" s="34"/>
      <c r="AO74" s="30"/>
      <c r="AP74" s="30"/>
      <c r="AQ74" s="30"/>
      <c r="AR74" s="30"/>
    </row>
    <row r="75" spans="1:44" ht="13.5" customHeight="1" x14ac:dyDescent="0.2">
      <c r="A75" s="48">
        <f>集計表!C7</f>
        <v>46174</v>
      </c>
      <c r="B75" s="78" t="str">
        <f>集計表!D7</f>
        <v>6/1</v>
      </c>
      <c r="C75" s="70" t="str">
        <f>集計表!E7</f>
        <v>2</v>
      </c>
      <c r="D75" s="70" t="str">
        <f>集計表!F7</f>
        <v>4</v>
      </c>
      <c r="E75" s="70" t="str">
        <f>集計表!G7</f>
        <v>5</v>
      </c>
      <c r="F75" s="70" t="str">
        <f>集計表!H7</f>
        <v>6</v>
      </c>
      <c r="G75" s="70" t="str">
        <f>集計表!I7</f>
        <v>8</v>
      </c>
      <c r="H75" s="70" t="str">
        <f>集計表!J7</f>
        <v>9</v>
      </c>
      <c r="I75" s="70" t="str">
        <f>集計表!K7</f>
        <v>11</v>
      </c>
      <c r="J75" s="70" t="str">
        <f>集計表!L7</f>
        <v>12</v>
      </c>
      <c r="K75" s="70" t="str">
        <f>集計表!M7</f>
        <v>13</v>
      </c>
      <c r="L75" s="70" t="str">
        <f>集計表!N7</f>
        <v>15</v>
      </c>
      <c r="M75" s="70" t="str">
        <f>集計表!O7</f>
        <v>16</v>
      </c>
      <c r="N75" s="70" t="str">
        <f>集計表!P7</f>
        <v>18</v>
      </c>
      <c r="O75" s="70" t="str">
        <f>集計表!Q7</f>
        <v>19</v>
      </c>
      <c r="P75" s="70" t="str">
        <f>集計表!R7</f>
        <v>20</v>
      </c>
      <c r="Q75" s="70" t="str">
        <f>集計表!S7</f>
        <v>22</v>
      </c>
      <c r="R75" s="70" t="str">
        <f>集計表!T7</f>
        <v>23</v>
      </c>
      <c r="S75" s="70" t="str">
        <f>集計表!U7</f>
        <v>25</v>
      </c>
      <c r="T75" s="70" t="str">
        <f>集計表!V7</f>
        <v>26</v>
      </c>
      <c r="U75" s="70" t="str">
        <f>集計表!W7</f>
        <v>27</v>
      </c>
      <c r="V75" s="70" t="str">
        <f>集計表!X7</f>
        <v>29</v>
      </c>
      <c r="W75" s="70" t="str">
        <f>集計表!Y7</f>
        <v>30</v>
      </c>
      <c r="X75" s="70" t="str">
        <f>集計表!Z7</f>
        <v>7/2</v>
      </c>
      <c r="Y75" s="70" t="str">
        <f>集計表!AA7</f>
        <v>3</v>
      </c>
      <c r="Z75" s="70" t="str">
        <f>集計表!AB7</f>
        <v>4</v>
      </c>
      <c r="AA75" s="70" t="str">
        <f>集計表!AC7</f>
        <v>6</v>
      </c>
      <c r="AB75" s="70" t="str">
        <f>集計表!AD7</f>
        <v>7</v>
      </c>
      <c r="AC75" s="70" t="str">
        <f>集計表!AE7</f>
        <v>9</v>
      </c>
      <c r="AD75" s="70" t="str">
        <f>集計表!AF7</f>
        <v>10</v>
      </c>
      <c r="AE75" s="70" t="str">
        <f>集計表!AG7</f>
        <v>11</v>
      </c>
      <c r="AF75" s="70" t="str">
        <f>集計表!AH7</f>
        <v>13</v>
      </c>
      <c r="AG75" s="70" t="str">
        <f>集計表!AI7</f>
        <v>14</v>
      </c>
      <c r="AH75" s="70" t="str">
        <f>集計表!AJ7</f>
        <v>16</v>
      </c>
      <c r="AI75" s="70" t="str">
        <f>集計表!AK7</f>
        <v>17</v>
      </c>
      <c r="AJ75" s="70" t="str">
        <f>集計表!AL7</f>
        <v>18</v>
      </c>
      <c r="AK75" s="70" t="str">
        <f>集計表!AM7</f>
        <v>21</v>
      </c>
      <c r="AL75" s="50" t="str">
        <f>集計表!AN7</f>
        <v>23</v>
      </c>
      <c r="AM75" s="50" t="str">
        <f>集計表!AO7</f>
        <v>24</v>
      </c>
      <c r="AN75" s="50" t="str">
        <f>集計表!AP7</f>
        <v>25</v>
      </c>
      <c r="AO75" s="50" t="str">
        <f>集計表!AQ7</f>
        <v>27</v>
      </c>
      <c r="AP75" s="50" t="str">
        <f>集計表!AR7</f>
        <v>28</v>
      </c>
      <c r="AQ75" s="50" t="str">
        <f>集計表!AS7</f>
        <v>30</v>
      </c>
      <c r="AR75" s="50" t="str">
        <f>集計表!AT7</f>
        <v>31</v>
      </c>
    </row>
    <row r="76" spans="1:44" ht="13.5" customHeight="1" x14ac:dyDescent="0.2">
      <c r="A76" s="51" t="s">
        <v>0</v>
      </c>
      <c r="B76" s="72">
        <f>IF(集計表!D9="","",集計表!D9)</f>
        <v>1.946</v>
      </c>
      <c r="C76" s="72">
        <f>IF(集計表!E9="","",集計表!E9)</f>
        <v>2.5840000000000001</v>
      </c>
      <c r="D76" s="72">
        <f>IF(集計表!F9="","",集計表!F9)</f>
        <v>1.8720000000000001</v>
      </c>
      <c r="E76" s="72">
        <f>IF(集計表!G9="","",集計表!G9)</f>
        <v>0.92300000000000004</v>
      </c>
      <c r="F76" s="72">
        <f>IF(集計表!H9="","",集計表!H9)</f>
        <v>1.615</v>
      </c>
      <c r="G76" s="72">
        <f>IF(集計表!I9="","",集計表!I9)</f>
        <v>3.9689999999999999</v>
      </c>
      <c r="H76" s="72">
        <f>IF(集計表!J9="","",集計表!J9)</f>
        <v>2.8330000000000002</v>
      </c>
      <c r="I76" s="72">
        <f>IF(集計表!K9="","",集計表!K9)</f>
        <v>1.944</v>
      </c>
      <c r="J76" s="72">
        <f>IF(集計表!L9="","",集計表!L9)</f>
        <v>1.3089999999999999</v>
      </c>
      <c r="K76" s="72">
        <f>IF(集計表!M9="","",集計表!M9)</f>
        <v>1.8919999999999999</v>
      </c>
      <c r="L76" s="72">
        <f>IF(集計表!N9="","",集計表!N9)</f>
        <v>2.508</v>
      </c>
      <c r="M76" s="72">
        <f>IF(集計表!O9="","",集計表!O9)</f>
        <v>1.2270000000000001</v>
      </c>
      <c r="N76" s="72">
        <f>IF(集計表!P9="","",集計表!P9)</f>
        <v>1.325</v>
      </c>
      <c r="O76" s="72">
        <f>IF(集計表!Q9="","",集計表!Q9)</f>
        <v>1.7929999999999999</v>
      </c>
      <c r="P76" s="72">
        <f>IF(集計表!R9="","",集計表!R9)</f>
        <v>2.1800000000000002</v>
      </c>
      <c r="Q76" s="72">
        <f>IF(集計表!S9="","",集計表!S9)</f>
        <v>1.7749999999999999</v>
      </c>
      <c r="R76" s="72">
        <f>IF(集計表!T9="","",集計表!T9)</f>
        <v>1.877</v>
      </c>
      <c r="S76" s="72">
        <f>IF(集計表!U9="","",集計表!U9)</f>
        <v>2.629</v>
      </c>
      <c r="T76" s="72">
        <f>IF(集計表!V9="","",集計表!V9)</f>
        <v>2.907</v>
      </c>
      <c r="U76" s="72">
        <f>IF(集計表!W9="","",集計表!W9)</f>
        <v>3.044</v>
      </c>
      <c r="V76" s="72">
        <f>IF(集計表!X9="","",集計表!X9)</f>
        <v>1.98</v>
      </c>
      <c r="W76" s="72">
        <f>IF(集計表!Y9="","",集計表!Y9)</f>
        <v>1.619</v>
      </c>
      <c r="X76" s="72">
        <f>IF(集計表!Z9="","",集計表!Z9)</f>
        <v>3.2450000000000001</v>
      </c>
      <c r="Y76" s="72">
        <f>IF(集計表!AA9="","",集計表!AA9)</f>
        <v>2.593</v>
      </c>
      <c r="Z76" s="72">
        <f>IF(集計表!AB9="","",集計表!AB9)</f>
        <v>2.343</v>
      </c>
      <c r="AA76" s="72">
        <f>IF(集計表!AC9="","",集計表!AC9)</f>
        <v>2.992</v>
      </c>
      <c r="AB76" s="72">
        <f>IF(集計表!AD9="","",集計表!AD9)</f>
        <v>3.9039999999999999</v>
      </c>
      <c r="AC76" s="72" t="str">
        <f>IF(集計表!AE9="","",集計表!AE9)</f>
        <v/>
      </c>
      <c r="AD76" s="72" t="str">
        <f>IF(集計表!AF9="","",集計表!AF9)</f>
        <v/>
      </c>
      <c r="AE76" s="72" t="str">
        <f>IF(集計表!AG9="","",集計表!AG9)</f>
        <v/>
      </c>
      <c r="AF76" s="72" t="str">
        <f>IF(集計表!AH9="","",集計表!AH9)</f>
        <v/>
      </c>
      <c r="AG76" s="72" t="str">
        <f>IF(集計表!AI9="","",集計表!AI9)</f>
        <v/>
      </c>
      <c r="AH76" s="72" t="str">
        <f>IF(集計表!AJ9="","",集計表!AJ9)</f>
        <v/>
      </c>
      <c r="AI76" s="72" t="str">
        <f>IF(集計表!AK9="","",集計表!AK9)</f>
        <v/>
      </c>
      <c r="AJ76" s="72" t="str">
        <f>IF(集計表!AL9="","",集計表!AL9)</f>
        <v/>
      </c>
      <c r="AK76" s="72" t="str">
        <f>IF(集計表!AM9="","",集計表!AM9)</f>
        <v/>
      </c>
      <c r="AL76" s="23" t="str">
        <f>IF(集計表!AN9="","",集計表!AN9)</f>
        <v/>
      </c>
      <c r="AM76" s="23" t="str">
        <f>IF(集計表!AO9="","",集計表!AO9)</f>
        <v/>
      </c>
      <c r="AN76" s="23" t="str">
        <f>IF(集計表!AP9="","",集計表!AP9)</f>
        <v/>
      </c>
      <c r="AO76" s="23" t="str">
        <f>IF(集計表!AQ9="","",集計表!AQ9)</f>
        <v/>
      </c>
      <c r="AP76" s="23" t="str">
        <f>IF(集計表!AR9="","",集計表!AR9)</f>
        <v/>
      </c>
      <c r="AQ76" s="23" t="str">
        <f>IF(集計表!AS9="","",集計表!AS9)</f>
        <v/>
      </c>
      <c r="AR76" s="23" t="str">
        <f>IF(集計表!AT9="","",集計表!AT9)</f>
        <v/>
      </c>
    </row>
    <row r="77" spans="1:44" ht="13.5" customHeight="1" x14ac:dyDescent="0.2">
      <c r="A77" s="51" t="s">
        <v>1</v>
      </c>
      <c r="B77" s="72">
        <f>IF(集計表!D10=0,NA(),集計表!D10)</f>
        <v>599</v>
      </c>
      <c r="C77" s="72">
        <f>IF(集計表!E10=0,NA(),集計表!E10)</f>
        <v>546</v>
      </c>
      <c r="D77" s="72">
        <f>IF(集計表!F10=0,NA(),集計表!F10)</f>
        <v>450</v>
      </c>
      <c r="E77" s="72">
        <f>IF(集計表!G10=0,NA(),集計表!G10)</f>
        <v>490</v>
      </c>
      <c r="F77" s="72">
        <f>IF(集計表!H10=0,NA(),集計表!H10)</f>
        <v>610</v>
      </c>
      <c r="G77" s="72">
        <f>IF(集計表!I10=0,NA(),集計表!I10)</f>
        <v>600</v>
      </c>
      <c r="H77" s="72">
        <f>IF(集計表!J10=0,NA(),集計表!J10)</f>
        <v>432</v>
      </c>
      <c r="I77" s="72">
        <f>IF(集計表!K10=0,NA(),集計表!K10)</f>
        <v>586</v>
      </c>
      <c r="J77" s="72">
        <f>IF(集計表!L10=0,NA(),集計表!L10)</f>
        <v>548</v>
      </c>
      <c r="K77" s="72">
        <f>IF(集計表!M10=0,NA(),集計表!M10)</f>
        <v>622</v>
      </c>
      <c r="L77" s="72">
        <f>IF(集計表!N10=0,NA(),集計表!N10)</f>
        <v>567</v>
      </c>
      <c r="M77" s="72">
        <f>IF(集計表!O10=0,NA(),集計表!O10)</f>
        <v>472</v>
      </c>
      <c r="N77" s="72">
        <f>IF(集計表!P10=0,NA(),集計表!P10)</f>
        <v>481</v>
      </c>
      <c r="O77" s="72">
        <f>IF(集計表!Q10=0,NA(),集計表!Q10)</f>
        <v>605</v>
      </c>
      <c r="P77" s="72">
        <f>IF(集計表!R10=0,NA(),集計表!R10)</f>
        <v>550</v>
      </c>
      <c r="Q77" s="72">
        <f>IF(集計表!S10=0,NA(),集計表!S10)</f>
        <v>526</v>
      </c>
      <c r="R77" s="72">
        <f>IF(集計表!T10=0,NA(),集計表!T10)</f>
        <v>517</v>
      </c>
      <c r="S77" s="72">
        <f>IF(集計表!U10=0,NA(),集計表!U10)</f>
        <v>514</v>
      </c>
      <c r="T77" s="72">
        <f>IF(集計表!V10=0,NA(),集計表!V10)</f>
        <v>586</v>
      </c>
      <c r="U77" s="72">
        <f>IF(集計表!W10=0,NA(),集計表!W10)</f>
        <v>473</v>
      </c>
      <c r="V77" s="72">
        <f>IF(集計表!X10=0,NA(),集計表!X10)</f>
        <v>635</v>
      </c>
      <c r="W77" s="72">
        <f>IF(集計表!Y10=0,NA(),集計表!Y10)</f>
        <v>552</v>
      </c>
      <c r="X77" s="72">
        <f>IF(集計表!Z10=0,NA(),集計表!Z10)</f>
        <v>608</v>
      </c>
      <c r="Y77" s="72">
        <f>IF(集計表!AA10=0,NA(),集計表!AA10)</f>
        <v>553</v>
      </c>
      <c r="Z77" s="72">
        <f>IF(集計表!AB10=0,NA(),集計表!AB10)</f>
        <v>572</v>
      </c>
      <c r="AA77" s="72">
        <f>IF(集計表!AC10=0,NA(),集計表!AC10)</f>
        <v>543</v>
      </c>
      <c r="AB77" s="72">
        <f>IF(集計表!AD10=0,NA(),集計表!AD10)</f>
        <v>445</v>
      </c>
      <c r="AC77" s="72" t="e">
        <f>IF(集計表!AE10=0,NA(),集計表!AE10)</f>
        <v>#N/A</v>
      </c>
      <c r="AD77" s="72" t="e">
        <f>IF(集計表!AF10=0,NA(),集計表!AF10)</f>
        <v>#N/A</v>
      </c>
      <c r="AE77" s="72" t="e">
        <f>IF(集計表!AG10=0,NA(),集計表!AG10)</f>
        <v>#N/A</v>
      </c>
      <c r="AF77" s="72" t="e">
        <f>IF(集計表!AH10=0,NA(),集計表!AH10)</f>
        <v>#N/A</v>
      </c>
      <c r="AG77" s="72" t="e">
        <f>IF(集計表!AI10=0,NA(),集計表!AI10)</f>
        <v>#N/A</v>
      </c>
      <c r="AH77" s="72" t="e">
        <f>IF(集計表!AJ10=0,NA(),集計表!AJ10)</f>
        <v>#N/A</v>
      </c>
      <c r="AI77" s="72" t="e">
        <f>IF(集計表!AK10=0,NA(),集計表!AK10)</f>
        <v>#N/A</v>
      </c>
      <c r="AJ77" s="72" t="e">
        <f>IF(集計表!AL10=0,NA(),集計表!AL10)</f>
        <v>#N/A</v>
      </c>
      <c r="AK77" s="72" t="e">
        <f>IF(集計表!AM10=0,NA(),集計表!AM10)</f>
        <v>#N/A</v>
      </c>
      <c r="AL77" s="72" t="e">
        <f>IF(集計表!AN10=0,NA(),集計表!AN10)</f>
        <v>#N/A</v>
      </c>
      <c r="AM77" s="72" t="e">
        <f>IF(集計表!AO10=0,NA(),集計表!AO10)</f>
        <v>#N/A</v>
      </c>
      <c r="AN77" s="72" t="e">
        <f>IF(集計表!AP10=0,NA(),集計表!AP10)</f>
        <v>#N/A</v>
      </c>
      <c r="AO77" s="72" t="e">
        <f>IF(集計表!AQ10=0,NA(),集計表!AQ10)</f>
        <v>#N/A</v>
      </c>
      <c r="AP77" s="72" t="e">
        <f>IF(集計表!AR10=0,NA(),集計表!AR10)</f>
        <v>#N/A</v>
      </c>
      <c r="AQ77" s="72" t="e">
        <f>IF(集計表!AS10=0,NA(),集計表!AS10)</f>
        <v>#N/A</v>
      </c>
      <c r="AR77" s="72" t="e">
        <f>IF(集計表!AT10=0,NA(),集計表!AT10)</f>
        <v>#N/A</v>
      </c>
    </row>
    <row r="78" spans="1:44" ht="13.5" customHeight="1" x14ac:dyDescent="0.2">
      <c r="A78" s="51" t="s">
        <v>2</v>
      </c>
      <c r="B78" s="72">
        <f>集計表!D11</f>
        <v>545</v>
      </c>
      <c r="C78" s="72">
        <f>集計表!E11</f>
        <v>545</v>
      </c>
      <c r="D78" s="72">
        <f>集計表!F11</f>
        <v>545</v>
      </c>
      <c r="E78" s="72">
        <f>集計表!G11</f>
        <v>545</v>
      </c>
      <c r="F78" s="72">
        <f>集計表!H11</f>
        <v>545</v>
      </c>
      <c r="G78" s="72">
        <f>集計表!I11</f>
        <v>545</v>
      </c>
      <c r="H78" s="72">
        <f>集計表!J11</f>
        <v>545</v>
      </c>
      <c r="I78" s="72">
        <f>集計表!K11</f>
        <v>539</v>
      </c>
      <c r="J78" s="72">
        <f>集計表!L11</f>
        <v>539</v>
      </c>
      <c r="K78" s="72">
        <f>集計表!M11</f>
        <v>539</v>
      </c>
      <c r="L78" s="72">
        <f>集計表!N11</f>
        <v>539</v>
      </c>
      <c r="M78" s="72">
        <f>集計表!O11</f>
        <v>539</v>
      </c>
      <c r="N78" s="72">
        <f>集計表!P11</f>
        <v>539</v>
      </c>
      <c r="O78" s="72">
        <f>集計表!Q11</f>
        <v>539</v>
      </c>
      <c r="P78" s="72">
        <f>集計表!R11</f>
        <v>539</v>
      </c>
      <c r="Q78" s="72">
        <f>集計表!S11</f>
        <v>481</v>
      </c>
      <c r="R78" s="72">
        <f>集計表!T11</f>
        <v>481</v>
      </c>
      <c r="S78" s="72">
        <f>集計表!U11</f>
        <v>481</v>
      </c>
      <c r="T78" s="72">
        <f>集計表!V11</f>
        <v>481</v>
      </c>
      <c r="U78" s="72">
        <f>集計表!W11</f>
        <v>481</v>
      </c>
      <c r="V78" s="72">
        <f>集計表!X11</f>
        <v>481</v>
      </c>
      <c r="W78" s="72">
        <f>集計表!Y11</f>
        <v>481</v>
      </c>
      <c r="X78" s="72">
        <f>集計表!Z11</f>
        <v>430</v>
      </c>
      <c r="Y78" s="72">
        <f>集計表!AA11</f>
        <v>430</v>
      </c>
      <c r="Z78" s="72">
        <f>集計表!AB11</f>
        <v>430</v>
      </c>
      <c r="AA78" s="72">
        <f>集計表!AC11</f>
        <v>430</v>
      </c>
      <c r="AB78" s="72">
        <f>集計表!AD11</f>
        <v>430</v>
      </c>
      <c r="AC78" s="72">
        <f>集計表!AE11</f>
        <v>430</v>
      </c>
      <c r="AD78" s="72">
        <f>集計表!AF11</f>
        <v>430</v>
      </c>
      <c r="AE78" s="72">
        <f>集計表!AG11</f>
        <v>378</v>
      </c>
      <c r="AF78" s="72">
        <f>集計表!AH11</f>
        <v>378</v>
      </c>
      <c r="AG78" s="72">
        <f>集計表!AI11</f>
        <v>378</v>
      </c>
      <c r="AH78" s="72">
        <f>集計表!AJ11</f>
        <v>378</v>
      </c>
      <c r="AI78" s="72">
        <f>集計表!AK11</f>
        <v>378</v>
      </c>
      <c r="AJ78" s="72">
        <f>集計表!AL11</f>
        <v>378</v>
      </c>
      <c r="AK78" s="72">
        <f>集計表!AM11</f>
        <v>383</v>
      </c>
      <c r="AL78" s="72">
        <f>集計表!AN11</f>
        <v>383</v>
      </c>
      <c r="AM78" s="72">
        <f>集計表!AO11</f>
        <v>383</v>
      </c>
      <c r="AN78" s="72">
        <f>集計表!AP11</f>
        <v>383</v>
      </c>
      <c r="AO78" s="72">
        <f>集計表!AQ11</f>
        <v>383</v>
      </c>
      <c r="AP78" s="72">
        <f>集計表!AR11</f>
        <v>383</v>
      </c>
      <c r="AQ78" s="72">
        <f>集計表!AS11</f>
        <v>383</v>
      </c>
      <c r="AR78" s="72">
        <f>集計表!AT11</f>
        <v>383</v>
      </c>
    </row>
    <row r="79" spans="1:44" ht="13.5" customHeight="1" x14ac:dyDescent="0.2">
      <c r="A79" s="52" t="s">
        <v>20</v>
      </c>
      <c r="B79" s="46">
        <f>IFERROR(B77/B78, "")</f>
        <v>1.0990825688073393</v>
      </c>
      <c r="C79" s="46">
        <f t="shared" ref="C79:AM79" si="4">IFERROR(C77/C78, "")</f>
        <v>1.001834862385321</v>
      </c>
      <c r="D79" s="46">
        <f t="shared" si="4"/>
        <v>0.82568807339449546</v>
      </c>
      <c r="E79" s="46">
        <f t="shared" si="4"/>
        <v>0.8990825688073395</v>
      </c>
      <c r="F79" s="46">
        <f t="shared" si="4"/>
        <v>1.1192660550458715</v>
      </c>
      <c r="G79" s="46">
        <f t="shared" si="4"/>
        <v>1.1009174311926606</v>
      </c>
      <c r="H79" s="46">
        <f t="shared" si="4"/>
        <v>0.79266055045871564</v>
      </c>
      <c r="I79" s="46">
        <f t="shared" si="4"/>
        <v>1.0871985157699444</v>
      </c>
      <c r="J79" s="46">
        <f t="shared" si="4"/>
        <v>1.0166975881261595</v>
      </c>
      <c r="K79" s="46">
        <f t="shared" si="4"/>
        <v>1.1539888682745825</v>
      </c>
      <c r="L79" s="46">
        <f t="shared" si="4"/>
        <v>1.051948051948052</v>
      </c>
      <c r="M79" s="46">
        <f t="shared" si="4"/>
        <v>0.87569573283859004</v>
      </c>
      <c r="N79" s="46">
        <f t="shared" si="4"/>
        <v>0.89239332096474955</v>
      </c>
      <c r="O79" s="46">
        <f t="shared" si="4"/>
        <v>1.1224489795918366</v>
      </c>
      <c r="P79" s="47">
        <f t="shared" si="4"/>
        <v>1.0204081632653061</v>
      </c>
      <c r="Q79" s="47">
        <f t="shared" si="4"/>
        <v>1.0935550935550935</v>
      </c>
      <c r="R79" s="47">
        <f t="shared" si="4"/>
        <v>1.0748440748440748</v>
      </c>
      <c r="S79" s="46">
        <f t="shared" si="4"/>
        <v>1.0686070686070686</v>
      </c>
      <c r="T79" s="46">
        <f t="shared" si="4"/>
        <v>1.2182952182952183</v>
      </c>
      <c r="U79" s="46">
        <f t="shared" si="4"/>
        <v>0.98336798336798337</v>
      </c>
      <c r="V79" s="46">
        <f t="shared" si="4"/>
        <v>1.3201663201663201</v>
      </c>
      <c r="W79" s="46">
        <f t="shared" si="4"/>
        <v>1.1476091476091477</v>
      </c>
      <c r="X79" s="46">
        <f t="shared" si="4"/>
        <v>1.413953488372093</v>
      </c>
      <c r="Y79" s="46">
        <f t="shared" si="4"/>
        <v>1.286046511627907</v>
      </c>
      <c r="Z79" s="47">
        <f t="shared" si="4"/>
        <v>1.3302325581395349</v>
      </c>
      <c r="AA79" s="46">
        <f t="shared" si="4"/>
        <v>1.2627906976744185</v>
      </c>
      <c r="AB79" s="46">
        <f t="shared" si="4"/>
        <v>1.0348837209302326</v>
      </c>
      <c r="AC79" s="46" t="str">
        <f t="shared" si="4"/>
        <v/>
      </c>
      <c r="AD79" s="46" t="str">
        <f t="shared" si="4"/>
        <v/>
      </c>
      <c r="AE79" s="46" t="str">
        <f t="shared" si="4"/>
        <v/>
      </c>
      <c r="AF79" s="46" t="str">
        <f t="shared" si="4"/>
        <v/>
      </c>
      <c r="AG79" s="46" t="str">
        <f t="shared" si="4"/>
        <v/>
      </c>
      <c r="AH79" s="46" t="str">
        <f t="shared" si="4"/>
        <v/>
      </c>
      <c r="AI79" s="46" t="str">
        <f t="shared" si="4"/>
        <v/>
      </c>
      <c r="AJ79" s="46" t="str">
        <f t="shared" si="4"/>
        <v/>
      </c>
      <c r="AK79" s="47" t="str">
        <f t="shared" si="4"/>
        <v/>
      </c>
      <c r="AL79" s="47" t="str">
        <f t="shared" si="4"/>
        <v/>
      </c>
      <c r="AM79" s="47" t="str">
        <f t="shared" si="4"/>
        <v/>
      </c>
      <c r="AN79" s="47" t="str">
        <f t="shared" ref="AN79:AO79" si="5">IFERROR(AN77/AN78, "")</f>
        <v/>
      </c>
      <c r="AO79" s="47" t="str">
        <f t="shared" si="5"/>
        <v/>
      </c>
      <c r="AP79" s="47" t="str">
        <f t="shared" ref="AP79:AQ79" si="6">IFERROR(AP77/AP78, "")</f>
        <v/>
      </c>
      <c r="AQ79" s="47" t="str">
        <f t="shared" si="6"/>
        <v/>
      </c>
      <c r="AR79" s="47" t="str">
        <f t="shared" ref="AR79" si="7">IFERROR(AR77/AR78, "")</f>
        <v/>
      </c>
    </row>
    <row r="80" spans="1:44" s="25" customFormat="1" ht="22.5" customHeight="1" x14ac:dyDescent="0.2">
      <c r="A80" s="25" t="s">
        <v>23</v>
      </c>
      <c r="B80" s="74"/>
      <c r="C80" s="74"/>
      <c r="D80" s="75"/>
      <c r="E80" s="74"/>
      <c r="F80" s="76"/>
      <c r="G80" s="74"/>
      <c r="H80" s="74"/>
      <c r="I80" s="74"/>
      <c r="J80" s="74"/>
      <c r="K80" s="77"/>
      <c r="L80" s="74"/>
      <c r="M80" s="77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26"/>
      <c r="AM80" s="26"/>
      <c r="AN80" s="26"/>
      <c r="AO80" s="26"/>
    </row>
    <row r="81" spans="1:14" ht="15.6" x14ac:dyDescent="0.2">
      <c r="A81" s="10" t="s">
        <v>10</v>
      </c>
      <c r="B81" s="63"/>
      <c r="C81" s="63"/>
      <c r="D81" s="63"/>
      <c r="E81" s="63"/>
      <c r="F81" s="63"/>
      <c r="G81" s="63"/>
      <c r="H81" s="63"/>
      <c r="I81" s="63"/>
      <c r="J81" s="63"/>
      <c r="K81" s="63" t="str">
        <f>TEXT(集計表!$C$1,"(e.m/d～)")</f>
        <v>(8.6/1～)</v>
      </c>
      <c r="L81" s="63"/>
      <c r="M81" s="63"/>
      <c r="N81" s="63"/>
    </row>
    <row r="82" spans="1:14" ht="15.6" x14ac:dyDescent="0.2">
      <c r="A82" s="10" t="s">
        <v>14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</row>
    <row r="83" spans="1:14" ht="13.5" customHeight="1" x14ac:dyDescent="0.2"/>
    <row r="84" spans="1:14" ht="13.5" customHeight="1" x14ac:dyDescent="0.2"/>
    <row r="85" spans="1:14" ht="13.5" customHeight="1" x14ac:dyDescent="0.2"/>
    <row r="86" spans="1:14" ht="13.5" customHeight="1" x14ac:dyDescent="0.2"/>
    <row r="87" spans="1:14" ht="13.5" customHeight="1" x14ac:dyDescent="0.2"/>
    <row r="88" spans="1:14" ht="13.5" customHeight="1" x14ac:dyDescent="0.2"/>
    <row r="89" spans="1:14" ht="13.5" customHeight="1" x14ac:dyDescent="0.2"/>
    <row r="90" spans="1:14" ht="13.5" customHeight="1" x14ac:dyDescent="0.2"/>
    <row r="91" spans="1:14" ht="13.5" customHeight="1" x14ac:dyDescent="0.2"/>
    <row r="92" spans="1:14" ht="13.5" customHeight="1" x14ac:dyDescent="0.2"/>
    <row r="93" spans="1:14" ht="13.5" customHeight="1" x14ac:dyDescent="0.2"/>
    <row r="94" spans="1:14" ht="13.5" customHeight="1" x14ac:dyDescent="0.2"/>
    <row r="95" spans="1:14" ht="13.5" customHeight="1" x14ac:dyDescent="0.2"/>
    <row r="96" spans="1:14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spans="1:44" ht="13.5" customHeight="1" x14ac:dyDescent="0.2"/>
    <row r="114" spans="1:44" s="31" customFormat="1" ht="16.2" customHeight="1" x14ac:dyDescent="0.2">
      <c r="B114" s="66"/>
      <c r="C114" s="66"/>
      <c r="D114" s="67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7"/>
      <c r="S114" s="66"/>
      <c r="T114" s="66"/>
      <c r="U114" s="66"/>
      <c r="V114" s="66"/>
      <c r="W114" s="66"/>
      <c r="X114" s="66"/>
      <c r="Y114" s="66"/>
      <c r="Z114" s="66"/>
      <c r="AA114" s="67"/>
      <c r="AB114" s="66"/>
      <c r="AC114" s="66"/>
      <c r="AD114" s="66"/>
      <c r="AE114" s="66"/>
      <c r="AF114" s="79"/>
      <c r="AG114" s="66"/>
      <c r="AH114" s="66"/>
      <c r="AI114" s="66"/>
      <c r="AJ114" s="68"/>
      <c r="AL114" s="30"/>
      <c r="AM114" s="30"/>
      <c r="AN114" s="34"/>
      <c r="AO114" s="30"/>
      <c r="AP114" s="30"/>
      <c r="AQ114" s="30"/>
      <c r="AR114" s="30"/>
    </row>
    <row r="115" spans="1:44" ht="13.5" customHeight="1" x14ac:dyDescent="0.2">
      <c r="A115" s="48">
        <f>集計表!C13</f>
        <v>46174</v>
      </c>
      <c r="B115" s="78" t="str">
        <f>集計表!D13</f>
        <v>6/1</v>
      </c>
      <c r="C115" s="70" t="str">
        <f>集計表!E13</f>
        <v>2</v>
      </c>
      <c r="D115" s="70" t="str">
        <f>集計表!F13</f>
        <v>4</v>
      </c>
      <c r="E115" s="70" t="str">
        <f>集計表!G13</f>
        <v>5</v>
      </c>
      <c r="F115" s="70" t="str">
        <f>集計表!H13</f>
        <v>6</v>
      </c>
      <c r="G115" s="70" t="str">
        <f>集計表!I13</f>
        <v>8</v>
      </c>
      <c r="H115" s="70" t="str">
        <f>集計表!J13</f>
        <v>9</v>
      </c>
      <c r="I115" s="70" t="str">
        <f>集計表!K13</f>
        <v>11</v>
      </c>
      <c r="J115" s="70" t="str">
        <f>集計表!L13</f>
        <v>12</v>
      </c>
      <c r="K115" s="70" t="str">
        <f>集計表!M13</f>
        <v>13</v>
      </c>
      <c r="L115" s="70" t="str">
        <f>集計表!N13</f>
        <v>15</v>
      </c>
      <c r="M115" s="70" t="str">
        <f>集計表!O13</f>
        <v>16</v>
      </c>
      <c r="N115" s="70" t="str">
        <f>集計表!P13</f>
        <v>18</v>
      </c>
      <c r="O115" s="70" t="str">
        <f>集計表!Q13</f>
        <v>19</v>
      </c>
      <c r="P115" s="70" t="str">
        <f>集計表!R13</f>
        <v>20</v>
      </c>
      <c r="Q115" s="70" t="str">
        <f>集計表!S13</f>
        <v>22</v>
      </c>
      <c r="R115" s="70" t="str">
        <f>集計表!T13</f>
        <v>23</v>
      </c>
      <c r="S115" s="70" t="str">
        <f>集計表!U13</f>
        <v>25</v>
      </c>
      <c r="T115" s="70" t="str">
        <f>集計表!V13</f>
        <v>26</v>
      </c>
      <c r="U115" s="70" t="str">
        <f>集計表!W13</f>
        <v>27</v>
      </c>
      <c r="V115" s="70" t="str">
        <f>集計表!X13</f>
        <v>29</v>
      </c>
      <c r="W115" s="70" t="str">
        <f>集計表!Y13</f>
        <v>30</v>
      </c>
      <c r="X115" s="70" t="str">
        <f>集計表!Z13</f>
        <v>7/2</v>
      </c>
      <c r="Y115" s="70" t="str">
        <f>集計表!AA13</f>
        <v>3</v>
      </c>
      <c r="Z115" s="70" t="str">
        <f>集計表!AB13</f>
        <v>4</v>
      </c>
      <c r="AA115" s="70" t="str">
        <f>集計表!AC13</f>
        <v>6</v>
      </c>
      <c r="AB115" s="70" t="str">
        <f>集計表!AD13</f>
        <v>7</v>
      </c>
      <c r="AC115" s="70" t="str">
        <f>集計表!AE13</f>
        <v>9</v>
      </c>
      <c r="AD115" s="70" t="str">
        <f>集計表!AF13</f>
        <v>10</v>
      </c>
      <c r="AE115" s="70" t="str">
        <f>集計表!AG13</f>
        <v>11</v>
      </c>
      <c r="AF115" s="70" t="str">
        <f>集計表!AH13</f>
        <v>13</v>
      </c>
      <c r="AG115" s="70" t="str">
        <f>集計表!AI13</f>
        <v>14</v>
      </c>
      <c r="AH115" s="70" t="str">
        <f>集計表!AJ13</f>
        <v>16</v>
      </c>
      <c r="AI115" s="70" t="str">
        <f>集計表!AK13</f>
        <v>17</v>
      </c>
      <c r="AJ115" s="70" t="str">
        <f>集計表!AL13</f>
        <v>18</v>
      </c>
      <c r="AK115" s="70" t="str">
        <f>集計表!AM13</f>
        <v>21</v>
      </c>
      <c r="AL115" s="50" t="str">
        <f>集計表!AN13</f>
        <v>23</v>
      </c>
      <c r="AM115" s="50" t="str">
        <f>集計表!AO13</f>
        <v>24</v>
      </c>
      <c r="AN115" s="50" t="str">
        <f>集計表!AP13</f>
        <v>25</v>
      </c>
      <c r="AO115" s="50" t="str">
        <f>集計表!AQ13</f>
        <v>27</v>
      </c>
      <c r="AP115" s="50" t="str">
        <f>集計表!AR13</f>
        <v>28</v>
      </c>
      <c r="AQ115" s="50" t="str">
        <f>集計表!AS13</f>
        <v>30</v>
      </c>
      <c r="AR115" s="50" t="str">
        <f>集計表!AT13</f>
        <v>31</v>
      </c>
    </row>
    <row r="116" spans="1:44" ht="13.5" customHeight="1" x14ac:dyDescent="0.2">
      <c r="A116" s="51" t="s">
        <v>0</v>
      </c>
      <c r="B116" s="72">
        <f>IF(集計表!D15="","",集計表!D15)</f>
        <v>0.92200000000000004</v>
      </c>
      <c r="C116" s="72">
        <f>IF(集計表!E15="","",集計表!E15)</f>
        <v>1.5189999999999999</v>
      </c>
      <c r="D116" s="72">
        <f>IF(集計表!F15="","",集計表!F15)</f>
        <v>0.46</v>
      </c>
      <c r="E116" s="72">
        <f>IF(集計表!G15="","",集計表!G15)</f>
        <v>0.80800000000000005</v>
      </c>
      <c r="F116" s="72">
        <f>IF(集計表!H15="","",集計表!H15)</f>
        <v>0.34</v>
      </c>
      <c r="G116" s="72">
        <f>IF(集計表!I15="","",集計表!I15)</f>
        <v>1.2050000000000001</v>
      </c>
      <c r="H116" s="72">
        <f>IF(集計表!J15="","",集計表!J15)</f>
        <v>1.4359999999999999</v>
      </c>
      <c r="I116" s="72">
        <f>IF(集計表!K15="","",集計表!K15)</f>
        <v>0.86799999999999999</v>
      </c>
      <c r="J116" s="72">
        <f>IF(集計表!L15="","",集計表!L15)</f>
        <v>0.51200000000000001</v>
      </c>
      <c r="K116" s="72">
        <f>IF(集計表!M15="","",集計表!M15)</f>
        <v>1</v>
      </c>
      <c r="L116" s="72">
        <f>IF(集計表!N15="","",集計表!N15)</f>
        <v>1.125</v>
      </c>
      <c r="M116" s="72">
        <f>IF(集計表!O15="","",集計表!O15)</f>
        <v>1.0309999999999999</v>
      </c>
      <c r="N116" s="72">
        <f>IF(集計表!P15="","",集計表!P15)</f>
        <v>0.68500000000000005</v>
      </c>
      <c r="O116" s="72">
        <f>IF(集計表!Q15="","",集計表!Q15)</f>
        <v>0.98399999999999999</v>
      </c>
      <c r="P116" s="72">
        <f>IF(集計表!R15="","",集計表!R15)</f>
        <v>0.53500000000000003</v>
      </c>
      <c r="Q116" s="72">
        <f>IF(集計表!S15="","",集計表!S15)</f>
        <v>0.84499999999999997</v>
      </c>
      <c r="R116" s="72">
        <f>IF(集計表!T15="","",集計表!T15)</f>
        <v>1.373</v>
      </c>
      <c r="S116" s="72">
        <f>IF(集計表!U15="","",集計表!U15)</f>
        <v>1.2050000000000001</v>
      </c>
      <c r="T116" s="72">
        <f>IF(集計表!V15="","",集計表!V15)</f>
        <v>0.89100000000000001</v>
      </c>
      <c r="U116" s="72">
        <f>IF(集計表!W15="","",集計表!W15)</f>
        <v>0.56000000000000005</v>
      </c>
      <c r="V116" s="72">
        <f>IF(集計表!X15="","",集計表!X15)</f>
        <v>1.1819999999999999</v>
      </c>
      <c r="W116" s="72">
        <f>IF(集計表!Y15="","",集計表!Y15)</f>
        <v>0.84699999999999998</v>
      </c>
      <c r="X116" s="72">
        <f>IF(集計表!Z15="","",集計表!Z15)</f>
        <v>1.716</v>
      </c>
      <c r="Y116" s="72">
        <f>IF(集計表!AA15="","",集計表!AA15)</f>
        <v>1.0589999999999999</v>
      </c>
      <c r="Z116" s="72">
        <f>IF(集計表!AB15="","",集計表!AB15)</f>
        <v>1.3720000000000001</v>
      </c>
      <c r="AA116" s="72">
        <f>IF(集計表!AC15="","",集計表!AC15)</f>
        <v>1.1870000000000001</v>
      </c>
      <c r="AB116" s="72">
        <f>IF(集計表!AD15="","",集計表!AD15)</f>
        <v>1.1970000000000001</v>
      </c>
      <c r="AC116" s="72" t="str">
        <f>IF(集計表!AE15="","",集計表!AE15)</f>
        <v/>
      </c>
      <c r="AD116" s="72" t="str">
        <f>IF(集計表!AF15="","",集計表!AF15)</f>
        <v/>
      </c>
      <c r="AE116" s="72" t="str">
        <f>IF(集計表!AG15="","",集計表!AG15)</f>
        <v/>
      </c>
      <c r="AF116" s="72" t="str">
        <f>IF(集計表!AH15="","",集計表!AH15)</f>
        <v/>
      </c>
      <c r="AG116" s="72" t="str">
        <f>IF(集計表!AI15="","",集計表!AI15)</f>
        <v/>
      </c>
      <c r="AH116" s="72" t="str">
        <f>IF(集計表!AJ15="","",集計表!AJ15)</f>
        <v/>
      </c>
      <c r="AI116" s="72" t="str">
        <f>IF(集計表!AK15="","",集計表!AK15)</f>
        <v/>
      </c>
      <c r="AJ116" s="72" t="str">
        <f>IF(集計表!AL15="","",集計表!AL15)</f>
        <v/>
      </c>
      <c r="AK116" s="72" t="str">
        <f>IF(集計表!AM15="","",集計表!AM15)</f>
        <v/>
      </c>
      <c r="AL116" s="23" t="str">
        <f>IF(集計表!AN15="","",集計表!AN15)</f>
        <v/>
      </c>
      <c r="AM116" s="23" t="str">
        <f>IF(集計表!AO15="","",集計表!AO15)</f>
        <v/>
      </c>
      <c r="AN116" s="23" t="str">
        <f>IF(集計表!AP15="","",集計表!AP15)</f>
        <v/>
      </c>
      <c r="AO116" s="23" t="str">
        <f>IF(集計表!AQ15="","",集計表!AQ15)</f>
        <v/>
      </c>
      <c r="AP116" s="23" t="str">
        <f>IF(集計表!AR15="","",集計表!AR15)</f>
        <v/>
      </c>
      <c r="AQ116" s="23" t="str">
        <f>IF(集計表!AS15="","",集計表!AS15)</f>
        <v/>
      </c>
      <c r="AR116" s="23" t="str">
        <f>IF(集計表!AT15="","",集計表!AT15)</f>
        <v/>
      </c>
    </row>
    <row r="117" spans="1:44" ht="13.5" customHeight="1" x14ac:dyDescent="0.2">
      <c r="A117" s="51" t="s">
        <v>1</v>
      </c>
      <c r="B117" s="72">
        <f>IF(集計表!D16=0,NA(),集計表!D16)</f>
        <v>532</v>
      </c>
      <c r="C117" s="72">
        <f>IF(集計表!E16=0,NA(),集計表!E16)</f>
        <v>726</v>
      </c>
      <c r="D117" s="72">
        <f>IF(集計表!F16=0,NA(),集計表!F16)</f>
        <v>605</v>
      </c>
      <c r="E117" s="72">
        <f>IF(集計表!G16=0,NA(),集計表!G16)</f>
        <v>438</v>
      </c>
      <c r="F117" s="72">
        <f>IF(集計表!H16=0,NA(),集計表!H16)</f>
        <v>468</v>
      </c>
      <c r="G117" s="72">
        <f>IF(集計表!I16=0,NA(),集計表!I16)</f>
        <v>632</v>
      </c>
      <c r="H117" s="72">
        <f>IF(集計表!J16=0,NA(),集計表!J16)</f>
        <v>596</v>
      </c>
      <c r="I117" s="72">
        <f>IF(集計表!K16=0,NA(),集計表!K16)</f>
        <v>639</v>
      </c>
      <c r="J117" s="72">
        <f>IF(集計表!L16=0,NA(),集計表!L16)</f>
        <v>437</v>
      </c>
      <c r="K117" s="72">
        <f>IF(集計表!M16=0,NA(),集計表!M16)</f>
        <v>506</v>
      </c>
      <c r="L117" s="72">
        <f>IF(集計表!N16=0,NA(),集計表!N16)</f>
        <v>597</v>
      </c>
      <c r="M117" s="72">
        <f>IF(集計表!O16=0,NA(),集計表!O16)</f>
        <v>624</v>
      </c>
      <c r="N117" s="72">
        <f>IF(集計表!P16=0,NA(),集計表!P16)</f>
        <v>572</v>
      </c>
      <c r="O117" s="72">
        <f>IF(集計表!Q16=0,NA(),集計表!Q16)</f>
        <v>618</v>
      </c>
      <c r="P117" s="72">
        <f>IF(集計表!R16=0,NA(),集計表!R16)</f>
        <v>437</v>
      </c>
      <c r="Q117" s="72">
        <f>IF(集計表!S16=0,NA(),集計表!S16)</f>
        <v>735</v>
      </c>
      <c r="R117" s="72">
        <f>IF(集計表!T16=0,NA(),集計表!T16)</f>
        <v>589</v>
      </c>
      <c r="S117" s="72">
        <f>IF(集計表!U16=0,NA(),集計表!U16)</f>
        <v>597</v>
      </c>
      <c r="T117" s="72">
        <f>IF(集計表!V16=0,NA(),集計表!V16)</f>
        <v>705</v>
      </c>
      <c r="U117" s="72">
        <f>IF(集計表!W16=0,NA(),集計表!W16)</f>
        <v>535</v>
      </c>
      <c r="V117" s="72">
        <f>IF(集計表!X16=0,NA(),集計表!X16)</f>
        <v>698</v>
      </c>
      <c r="W117" s="72">
        <f>IF(集計表!Y16=0,NA(),集計表!Y16)</f>
        <v>393</v>
      </c>
      <c r="X117" s="72">
        <f>IF(集計表!Z16=0,NA(),集計表!Z16)</f>
        <v>693</v>
      </c>
      <c r="Y117" s="72">
        <f>IF(集計表!AA16=0,NA(),集計表!AA16)</f>
        <v>610</v>
      </c>
      <c r="Z117" s="72">
        <f>IF(集計表!AB16=0,NA(),集計表!AB16)</f>
        <v>535</v>
      </c>
      <c r="AA117" s="72">
        <f>IF(集計表!AC16=0,NA(),集計表!AC16)</f>
        <v>635</v>
      </c>
      <c r="AB117" s="72">
        <f>IF(集計表!AD16=0,NA(),集計表!AD16)</f>
        <v>536</v>
      </c>
      <c r="AC117" s="72" t="e">
        <f>IF(集計表!AE16=0,NA(),集計表!AE16)</f>
        <v>#N/A</v>
      </c>
      <c r="AD117" s="72" t="e">
        <f>IF(集計表!AF16=0,NA(),集計表!AF16)</f>
        <v>#N/A</v>
      </c>
      <c r="AE117" s="72" t="e">
        <f>IF(集計表!AG16=0,NA(),集計表!AG16)</f>
        <v>#N/A</v>
      </c>
      <c r="AF117" s="72" t="e">
        <f>IF(集計表!AH16=0,NA(),集計表!AH16)</f>
        <v>#N/A</v>
      </c>
      <c r="AG117" s="72" t="e">
        <f>IF(集計表!AI16=0,NA(),集計表!AI16)</f>
        <v>#N/A</v>
      </c>
      <c r="AH117" s="72" t="e">
        <f>IF(集計表!AJ16=0,NA(),集計表!AJ16)</f>
        <v>#N/A</v>
      </c>
      <c r="AI117" s="72" t="e">
        <f>IF(集計表!AK16=0,NA(),集計表!AK16)</f>
        <v>#N/A</v>
      </c>
      <c r="AJ117" s="72" t="e">
        <f>IF(集計表!AL16=0,NA(),集計表!AL16)</f>
        <v>#N/A</v>
      </c>
      <c r="AK117" s="72" t="e">
        <f>IF(集計表!AM16=0,NA(),集計表!AM16)</f>
        <v>#N/A</v>
      </c>
      <c r="AL117" s="72" t="e">
        <f>IF(集計表!AN16=0,NA(),集計表!AN16)</f>
        <v>#N/A</v>
      </c>
      <c r="AM117" s="72" t="e">
        <f>IF(集計表!AO16=0,NA(),集計表!AO16)</f>
        <v>#N/A</v>
      </c>
      <c r="AN117" s="72" t="e">
        <f>IF(集計表!AP16=0,NA(),集計表!AP16)</f>
        <v>#N/A</v>
      </c>
      <c r="AO117" s="72" t="e">
        <f>IF(集計表!AQ16=0,NA(),集計表!AQ16)</f>
        <v>#N/A</v>
      </c>
      <c r="AP117" s="72" t="e">
        <f>IF(集計表!AR16=0,NA(),集計表!AR16)</f>
        <v>#N/A</v>
      </c>
      <c r="AQ117" s="72" t="e">
        <f>IF(集計表!AS16=0,NA(),集計表!AS16)</f>
        <v>#N/A</v>
      </c>
      <c r="AR117" s="72" t="e">
        <f>IF(集計表!AT16=0,NA(),集計表!AT16)</f>
        <v>#N/A</v>
      </c>
    </row>
    <row r="118" spans="1:44" ht="13.5" customHeight="1" x14ac:dyDescent="0.2">
      <c r="A118" s="51" t="s">
        <v>2</v>
      </c>
      <c r="B118" s="72">
        <f>集計表!D17</f>
        <v>684</v>
      </c>
      <c r="C118" s="72">
        <f>集計表!E17</f>
        <v>684</v>
      </c>
      <c r="D118" s="72">
        <f>集計表!F17</f>
        <v>684</v>
      </c>
      <c r="E118" s="72">
        <f>集計表!G17</f>
        <v>684</v>
      </c>
      <c r="F118" s="72">
        <f>集計表!H17</f>
        <v>684</v>
      </c>
      <c r="G118" s="72">
        <f>集計表!I17</f>
        <v>684</v>
      </c>
      <c r="H118" s="72">
        <f>集計表!J17</f>
        <v>684</v>
      </c>
      <c r="I118" s="72">
        <f>集計表!K17</f>
        <v>644</v>
      </c>
      <c r="J118" s="72">
        <f>集計表!L17</f>
        <v>644</v>
      </c>
      <c r="K118" s="72">
        <f>集計表!M17</f>
        <v>644</v>
      </c>
      <c r="L118" s="72">
        <f>集計表!N17</f>
        <v>644</v>
      </c>
      <c r="M118" s="72">
        <f>集計表!O17</f>
        <v>644</v>
      </c>
      <c r="N118" s="72">
        <f>集計表!P17</f>
        <v>644</v>
      </c>
      <c r="O118" s="72">
        <f>集計表!Q17</f>
        <v>644</v>
      </c>
      <c r="P118" s="72">
        <f>集計表!R17</f>
        <v>644</v>
      </c>
      <c r="Q118" s="72">
        <f>集計表!S17</f>
        <v>550</v>
      </c>
      <c r="R118" s="72">
        <f>集計表!T17</f>
        <v>550</v>
      </c>
      <c r="S118" s="72">
        <f>集計表!U17</f>
        <v>550</v>
      </c>
      <c r="T118" s="72">
        <f>集計表!V17</f>
        <v>550</v>
      </c>
      <c r="U118" s="72">
        <f>集計表!W17</f>
        <v>550</v>
      </c>
      <c r="V118" s="72">
        <f>集計表!X17</f>
        <v>550</v>
      </c>
      <c r="W118" s="72">
        <f>集計表!Y17</f>
        <v>550</v>
      </c>
      <c r="X118" s="72">
        <f>集計表!Z17</f>
        <v>504</v>
      </c>
      <c r="Y118" s="72">
        <f>集計表!AA17</f>
        <v>504</v>
      </c>
      <c r="Z118" s="72">
        <f>集計表!AB17</f>
        <v>504</v>
      </c>
      <c r="AA118" s="72">
        <f>集計表!AC17</f>
        <v>504</v>
      </c>
      <c r="AB118" s="72">
        <f>集計表!AD17</f>
        <v>504</v>
      </c>
      <c r="AC118" s="72">
        <f>集計表!AE17</f>
        <v>504</v>
      </c>
      <c r="AD118" s="72">
        <f>集計表!AF17</f>
        <v>504</v>
      </c>
      <c r="AE118" s="72">
        <f>集計表!AG17</f>
        <v>446</v>
      </c>
      <c r="AF118" s="72">
        <f>集計表!AH17</f>
        <v>446</v>
      </c>
      <c r="AG118" s="72">
        <f>集計表!AI17</f>
        <v>446</v>
      </c>
      <c r="AH118" s="72">
        <f>集計表!AJ17</f>
        <v>446</v>
      </c>
      <c r="AI118" s="72">
        <f>集計表!AK17</f>
        <v>446</v>
      </c>
      <c r="AJ118" s="72">
        <f>集計表!AL17</f>
        <v>446</v>
      </c>
      <c r="AK118" s="72">
        <f>集計表!AM17</f>
        <v>416</v>
      </c>
      <c r="AL118" s="72">
        <f>集計表!AN17</f>
        <v>416</v>
      </c>
      <c r="AM118" s="72">
        <f>集計表!AO17</f>
        <v>416</v>
      </c>
      <c r="AN118" s="72">
        <f>集計表!AP17</f>
        <v>416</v>
      </c>
      <c r="AO118" s="72">
        <f>集計表!AQ17</f>
        <v>416</v>
      </c>
      <c r="AP118" s="72">
        <f>集計表!AR17</f>
        <v>416</v>
      </c>
      <c r="AQ118" s="72">
        <f>集計表!AS17</f>
        <v>416</v>
      </c>
      <c r="AR118" s="72">
        <f>集計表!AT17</f>
        <v>416</v>
      </c>
    </row>
    <row r="119" spans="1:44" ht="13.5" customHeight="1" x14ac:dyDescent="0.2">
      <c r="A119" s="52" t="s">
        <v>20</v>
      </c>
      <c r="B119" s="46">
        <f>IFERROR(B117/B118, "")</f>
        <v>0.77777777777777779</v>
      </c>
      <c r="C119" s="46">
        <f t="shared" ref="C119:AM119" si="8">IFERROR(C117/C118, "")</f>
        <v>1.0614035087719298</v>
      </c>
      <c r="D119" s="46">
        <f t="shared" si="8"/>
        <v>0.88450292397660824</v>
      </c>
      <c r="E119" s="46">
        <f t="shared" si="8"/>
        <v>0.64035087719298245</v>
      </c>
      <c r="F119" s="46">
        <f t="shared" si="8"/>
        <v>0.68421052631578949</v>
      </c>
      <c r="G119" s="46">
        <f t="shared" si="8"/>
        <v>0.92397660818713445</v>
      </c>
      <c r="H119" s="46">
        <f t="shared" si="8"/>
        <v>0.87134502923976609</v>
      </c>
      <c r="I119" s="46">
        <f t="shared" si="8"/>
        <v>0.99223602484472051</v>
      </c>
      <c r="J119" s="46">
        <f t="shared" si="8"/>
        <v>0.6785714285714286</v>
      </c>
      <c r="K119" s="46">
        <f t="shared" si="8"/>
        <v>0.7857142857142857</v>
      </c>
      <c r="L119" s="46">
        <f t="shared" si="8"/>
        <v>0.92701863354037262</v>
      </c>
      <c r="M119" s="46">
        <f t="shared" si="8"/>
        <v>0.96894409937888204</v>
      </c>
      <c r="N119" s="46">
        <f t="shared" si="8"/>
        <v>0.88819875776397517</v>
      </c>
      <c r="O119" s="46">
        <f t="shared" si="8"/>
        <v>0.95962732919254656</v>
      </c>
      <c r="P119" s="47">
        <f t="shared" si="8"/>
        <v>0.6785714285714286</v>
      </c>
      <c r="Q119" s="47">
        <f t="shared" si="8"/>
        <v>1.3363636363636364</v>
      </c>
      <c r="R119" s="47">
        <f t="shared" si="8"/>
        <v>1.0709090909090908</v>
      </c>
      <c r="S119" s="46">
        <f t="shared" si="8"/>
        <v>1.0854545454545454</v>
      </c>
      <c r="T119" s="46">
        <f t="shared" si="8"/>
        <v>1.2818181818181817</v>
      </c>
      <c r="U119" s="46">
        <f t="shared" si="8"/>
        <v>0.97272727272727277</v>
      </c>
      <c r="V119" s="46">
        <f t="shared" si="8"/>
        <v>1.269090909090909</v>
      </c>
      <c r="W119" s="46">
        <f t="shared" si="8"/>
        <v>0.71454545454545459</v>
      </c>
      <c r="X119" s="46">
        <f t="shared" si="8"/>
        <v>1.375</v>
      </c>
      <c r="Y119" s="47">
        <f t="shared" si="8"/>
        <v>1.2103174603174602</v>
      </c>
      <c r="Z119" s="47">
        <f t="shared" si="8"/>
        <v>1.0615079365079365</v>
      </c>
      <c r="AA119" s="46">
        <f t="shared" si="8"/>
        <v>1.2599206349206349</v>
      </c>
      <c r="AB119" s="46">
        <f t="shared" si="8"/>
        <v>1.0634920634920635</v>
      </c>
      <c r="AC119" s="46" t="str">
        <f t="shared" si="8"/>
        <v/>
      </c>
      <c r="AD119" s="46" t="str">
        <f t="shared" si="8"/>
        <v/>
      </c>
      <c r="AE119" s="46" t="str">
        <f t="shared" si="8"/>
        <v/>
      </c>
      <c r="AF119" s="46" t="str">
        <f t="shared" si="8"/>
        <v/>
      </c>
      <c r="AG119" s="46" t="str">
        <f t="shared" si="8"/>
        <v/>
      </c>
      <c r="AH119" s="46" t="str">
        <f t="shared" si="8"/>
        <v/>
      </c>
      <c r="AI119" s="46" t="str">
        <f t="shared" si="8"/>
        <v/>
      </c>
      <c r="AJ119" s="46" t="str">
        <f t="shared" si="8"/>
        <v/>
      </c>
      <c r="AK119" s="47" t="str">
        <f t="shared" si="8"/>
        <v/>
      </c>
      <c r="AL119" s="47" t="str">
        <f t="shared" si="8"/>
        <v/>
      </c>
      <c r="AM119" s="47" t="str">
        <f t="shared" si="8"/>
        <v/>
      </c>
      <c r="AN119" s="47" t="str">
        <f t="shared" ref="AN119:AO119" si="9">IFERROR(AN117/AN118, "")</f>
        <v/>
      </c>
      <c r="AO119" s="47" t="str">
        <f t="shared" si="9"/>
        <v/>
      </c>
      <c r="AP119" s="47" t="str">
        <f t="shared" ref="AP119:AQ119" si="10">IFERROR(AP117/AP118, "")</f>
        <v/>
      </c>
      <c r="AQ119" s="47" t="str">
        <f t="shared" si="10"/>
        <v/>
      </c>
      <c r="AR119" s="47" t="str">
        <f t="shared" ref="AR119" si="11">IFERROR(AR117/AR118, "")</f>
        <v/>
      </c>
    </row>
    <row r="120" spans="1:44" s="25" customFormat="1" ht="30" customHeight="1" x14ac:dyDescent="0.2">
      <c r="A120" s="25" t="s">
        <v>23</v>
      </c>
      <c r="B120" s="74"/>
      <c r="C120" s="74"/>
      <c r="D120" s="75"/>
      <c r="E120" s="74"/>
      <c r="F120" s="76"/>
      <c r="G120" s="74"/>
      <c r="H120" s="74"/>
      <c r="I120" s="74"/>
      <c r="J120" s="74"/>
      <c r="K120" s="77"/>
      <c r="L120" s="74"/>
      <c r="M120" s="77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26"/>
      <c r="AM120" s="26"/>
      <c r="AN120" s="26"/>
      <c r="AO120" s="26"/>
    </row>
    <row r="121" spans="1:44" ht="15.6" x14ac:dyDescent="0.2">
      <c r="A121" s="10" t="s">
        <v>10</v>
      </c>
      <c r="B121" s="63"/>
      <c r="C121" s="63"/>
      <c r="D121" s="63"/>
      <c r="E121" s="63"/>
      <c r="F121" s="63"/>
      <c r="G121" s="63"/>
      <c r="H121" s="63"/>
      <c r="I121" s="63"/>
      <c r="J121" s="63"/>
      <c r="K121" s="63" t="str">
        <f>TEXT(集計表!$C$1,"(e.m/d～)")</f>
        <v>(8.6/1～)</v>
      </c>
      <c r="L121" s="63"/>
      <c r="M121" s="63"/>
      <c r="N121" s="63"/>
    </row>
    <row r="122" spans="1:44" ht="15.6" x14ac:dyDescent="0.2">
      <c r="A122" s="10" t="s">
        <v>15</v>
      </c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</row>
    <row r="153" spans="1:44" ht="13.5" customHeight="1" x14ac:dyDescent="0.2"/>
    <row r="154" spans="1:44" s="31" customFormat="1" ht="15.9" customHeight="1" x14ac:dyDescent="0.2">
      <c r="B154" s="66"/>
      <c r="C154" s="66"/>
      <c r="D154" s="80"/>
      <c r="E154" s="66"/>
      <c r="F154" s="67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30"/>
      <c r="S154" s="66"/>
      <c r="T154" s="66"/>
      <c r="U154" s="66"/>
      <c r="V154" s="30"/>
      <c r="W154" s="80"/>
      <c r="X154" s="66"/>
      <c r="Y154" s="66"/>
      <c r="Z154" s="66"/>
      <c r="AA154" s="67"/>
      <c r="AC154" s="66"/>
      <c r="AD154" s="66"/>
      <c r="AE154" s="66"/>
      <c r="AF154" s="66"/>
      <c r="AG154" s="66"/>
      <c r="AH154" s="66"/>
      <c r="AI154" s="66"/>
      <c r="AJ154" s="68"/>
      <c r="AK154" s="66"/>
      <c r="AN154" s="34"/>
      <c r="AO154" s="30"/>
      <c r="AP154" s="30"/>
      <c r="AR154" s="32"/>
    </row>
    <row r="155" spans="1:44" x14ac:dyDescent="0.2">
      <c r="A155" s="48">
        <f>集計表!C19</f>
        <v>46174</v>
      </c>
      <c r="B155" s="78" t="str">
        <f>集計表!D19</f>
        <v>6/1</v>
      </c>
      <c r="C155" s="81" t="str">
        <f>集計表!E19</f>
        <v>2</v>
      </c>
      <c r="D155" s="81" t="str">
        <f>集計表!F19</f>
        <v>4</v>
      </c>
      <c r="E155" s="81" t="str">
        <f>集計表!G19</f>
        <v>5</v>
      </c>
      <c r="F155" s="81" t="str">
        <f>集計表!H19</f>
        <v>6</v>
      </c>
      <c r="G155" s="81" t="str">
        <f>集計表!I19</f>
        <v>8</v>
      </c>
      <c r="H155" s="81" t="str">
        <f>集計表!J19</f>
        <v>9</v>
      </c>
      <c r="I155" s="81" t="str">
        <f>集計表!K19</f>
        <v>11</v>
      </c>
      <c r="J155" s="81" t="str">
        <f>集計表!L19</f>
        <v>12</v>
      </c>
      <c r="K155" s="81" t="str">
        <f>集計表!M19</f>
        <v>13</v>
      </c>
      <c r="L155" s="81" t="str">
        <f>集計表!N19</f>
        <v>15</v>
      </c>
      <c r="M155" s="81" t="str">
        <f>集計表!O19</f>
        <v>16</v>
      </c>
      <c r="N155" s="81" t="str">
        <f>集計表!P19</f>
        <v>18</v>
      </c>
      <c r="O155" s="81" t="str">
        <f>集計表!Q19</f>
        <v>19</v>
      </c>
      <c r="P155" s="81" t="str">
        <f>集計表!R19</f>
        <v>20</v>
      </c>
      <c r="Q155" s="81" t="str">
        <f>集計表!S19</f>
        <v>22</v>
      </c>
      <c r="R155" s="81" t="str">
        <f>集計表!T19</f>
        <v>23</v>
      </c>
      <c r="S155" s="81" t="str">
        <f>集計表!U19</f>
        <v>25</v>
      </c>
      <c r="T155" s="81" t="str">
        <f>集計表!V19</f>
        <v>26</v>
      </c>
      <c r="U155" s="81" t="str">
        <f>集計表!W19</f>
        <v>27</v>
      </c>
      <c r="V155" s="81" t="str">
        <f>集計表!X19</f>
        <v>29</v>
      </c>
      <c r="W155" s="81" t="str">
        <f>集計表!Y19</f>
        <v>30</v>
      </c>
      <c r="X155" s="82" t="str">
        <f>集計表!Z19</f>
        <v>7/2</v>
      </c>
      <c r="Y155" s="81" t="str">
        <f>集計表!AA19</f>
        <v>3</v>
      </c>
      <c r="Z155" s="82" t="str">
        <f>集計表!AB19</f>
        <v>4</v>
      </c>
      <c r="AA155" s="81" t="str">
        <f>集計表!AC19</f>
        <v>6</v>
      </c>
      <c r="AB155" s="81" t="str">
        <f>集計表!AD19</f>
        <v>7</v>
      </c>
      <c r="AC155" s="81" t="str">
        <f>集計表!AE19</f>
        <v>9</v>
      </c>
      <c r="AD155" s="81" t="str">
        <f>集計表!AF19</f>
        <v>10</v>
      </c>
      <c r="AE155" s="82" t="str">
        <f>集計表!AG19</f>
        <v>11</v>
      </c>
      <c r="AF155" s="81" t="str">
        <f>集計表!AH19</f>
        <v>13</v>
      </c>
      <c r="AG155" s="81" t="str">
        <f>集計表!AI19</f>
        <v>14</v>
      </c>
      <c r="AH155" s="81" t="str">
        <f>集計表!AJ19</f>
        <v>16</v>
      </c>
      <c r="AI155" s="81" t="str">
        <f>集計表!AK19</f>
        <v>17</v>
      </c>
      <c r="AJ155" s="81" t="str">
        <f>集計表!AL19</f>
        <v>18</v>
      </c>
      <c r="AK155" s="81" t="str">
        <f>集計表!AM19</f>
        <v>21</v>
      </c>
      <c r="AL155" s="58" t="str">
        <f>集計表!AN19</f>
        <v>23</v>
      </c>
      <c r="AM155" s="58" t="str">
        <f>集計表!AO19</f>
        <v>24</v>
      </c>
      <c r="AN155" s="58" t="str">
        <f>集計表!AP19</f>
        <v>25</v>
      </c>
      <c r="AO155" s="58" t="str">
        <f>集計表!AQ19</f>
        <v>27</v>
      </c>
      <c r="AP155" s="58" t="str">
        <f>集計表!AR19</f>
        <v>28</v>
      </c>
      <c r="AQ155" s="58" t="str">
        <f>集計表!AS19</f>
        <v>30</v>
      </c>
      <c r="AR155" s="58" t="str">
        <f>集計表!AT19</f>
        <v>31</v>
      </c>
    </row>
    <row r="156" spans="1:44" x14ac:dyDescent="0.2">
      <c r="A156" s="51" t="s">
        <v>0</v>
      </c>
      <c r="B156" s="72">
        <f>IF(集計表!D21="","",集計表!D21)</f>
        <v>0.63700000000000001</v>
      </c>
      <c r="C156" s="72">
        <f>IF(集計表!E21="","",集計表!E21)</f>
        <v>0.47</v>
      </c>
      <c r="D156" s="72">
        <f>IF(集計表!F21="","",集計表!F21)</f>
        <v>0.63600000000000001</v>
      </c>
      <c r="E156" s="72">
        <f>IF(集計表!G21="","",集計表!G21)</f>
        <v>0.214</v>
      </c>
      <c r="F156" s="72">
        <f>IF(集計表!H21="","",集計表!H21)</f>
        <v>0.51800000000000002</v>
      </c>
      <c r="G156" s="72">
        <f>IF(集計表!I21="","",集計表!I21)</f>
        <v>0.74199999999999999</v>
      </c>
      <c r="H156" s="72">
        <f>IF(集計表!J21="","",集計表!J21)</f>
        <v>0.43</v>
      </c>
      <c r="I156" s="72">
        <f>IF(集計表!K21="","",集計表!K21)</f>
        <v>0.439</v>
      </c>
      <c r="J156" s="72">
        <f>IF(集計表!L21="","",集計表!L21)</f>
        <v>0.86399999999999999</v>
      </c>
      <c r="K156" s="72">
        <f>IF(集計表!M21="","",集計表!M21)</f>
        <v>0.41799999999999998</v>
      </c>
      <c r="L156" s="72">
        <f>IF(集計表!N21="","",集計表!N21)</f>
        <v>0.53</v>
      </c>
      <c r="M156" s="72">
        <f>IF(集計表!O21="","",集計表!O21)</f>
        <v>0.30399999999999999</v>
      </c>
      <c r="N156" s="72">
        <f>IF(集計表!P21="","",集計表!P21)</f>
        <v>0.627</v>
      </c>
      <c r="O156" s="72">
        <f>IF(集計表!Q21="","",集計表!Q21)</f>
        <v>0.65100000000000002</v>
      </c>
      <c r="P156" s="72">
        <f>IF(集計表!R21="","",集計表!R21)</f>
        <v>0.30099999999999999</v>
      </c>
      <c r="Q156" s="72">
        <f>IF(集計表!S21="","",集計表!S21)</f>
        <v>0.41699999999999998</v>
      </c>
      <c r="R156" s="72">
        <f>IF(集計表!T21="","",集計表!T21)</f>
        <v>0.32900000000000001</v>
      </c>
      <c r="S156" s="72">
        <f>IF(集計表!U21="","",集計表!U21)</f>
        <v>0.47599999999999998</v>
      </c>
      <c r="T156" s="72">
        <f>IF(集計表!V21="","",集計表!V21)</f>
        <v>0.44900000000000001</v>
      </c>
      <c r="U156" s="72">
        <f>IF(集計表!W21="","",集計表!W21)</f>
        <v>0.39100000000000001</v>
      </c>
      <c r="V156" s="72">
        <f>IF(集計表!X21="","",集計表!X21)</f>
        <v>0.48399999999999999</v>
      </c>
      <c r="W156" s="72">
        <f>IF(集計表!Y21="","",集計表!Y21)</f>
        <v>0.307</v>
      </c>
      <c r="X156" s="73">
        <f>IF(集計表!Z21="","",集計表!Z21)</f>
        <v>0.68899999999999995</v>
      </c>
      <c r="Y156" s="72">
        <f>IF(集計表!AA21="","",集計表!AA21)</f>
        <v>0.71799999999999997</v>
      </c>
      <c r="Z156" s="73">
        <f>IF(集計表!AB21="","",集計表!AB21)</f>
        <v>0.59699999999999998</v>
      </c>
      <c r="AA156" s="72">
        <f>IF(集計表!AC21="","",集計表!AC21)</f>
        <v>0.60599999999999998</v>
      </c>
      <c r="AB156" s="72">
        <f>IF(集計表!AD21="","",集計表!AD21)</f>
        <v>0.69</v>
      </c>
      <c r="AC156" s="72" t="str">
        <f>IF(集計表!AE21="","",集計表!AE21)</f>
        <v/>
      </c>
      <c r="AD156" s="72" t="str">
        <f>IF(集計表!AF21="","",集計表!AF21)</f>
        <v/>
      </c>
      <c r="AE156" s="73" t="str">
        <f>IF(集計表!AG21="","",集計表!AG21)</f>
        <v/>
      </c>
      <c r="AF156" s="72" t="str">
        <f>IF(集計表!AH21="","",集計表!AH21)</f>
        <v/>
      </c>
      <c r="AG156" s="72" t="str">
        <f>IF(集計表!AI21="","",集計表!AI21)</f>
        <v/>
      </c>
      <c r="AH156" s="72" t="str">
        <f>IF(集計表!AJ21="","",集計表!AJ21)</f>
        <v/>
      </c>
      <c r="AI156" s="72" t="str">
        <f>IF(集計表!AK21="","",集計表!AK21)</f>
        <v/>
      </c>
      <c r="AJ156" s="72" t="str">
        <f>IF(集計表!AL21="","",集計表!AL21)</f>
        <v/>
      </c>
      <c r="AK156" s="72" t="str">
        <f>IF(集計表!AM21="","",集計表!AM21)</f>
        <v/>
      </c>
      <c r="AL156" s="23" t="str">
        <f>IF(集計表!AN21="","",集計表!AN21)</f>
        <v/>
      </c>
      <c r="AM156" s="23" t="str">
        <f>IF(集計表!AO21="","",集計表!AO21)</f>
        <v/>
      </c>
      <c r="AN156" s="23" t="str">
        <f>IF(集計表!AP21="","",集計表!AP21)</f>
        <v/>
      </c>
      <c r="AO156" s="23" t="str">
        <f>IF(集計表!AQ21="","",集計表!AQ21)</f>
        <v/>
      </c>
      <c r="AP156" s="23" t="str">
        <f>IF(集計表!AR21="","",集計表!AR21)</f>
        <v/>
      </c>
      <c r="AQ156" s="23" t="str">
        <f>IF(集計表!AS21="","",集計表!AS21)</f>
        <v/>
      </c>
      <c r="AR156" s="23" t="str">
        <f>IF(集計表!AT21="","",集計表!AT21)</f>
        <v/>
      </c>
    </row>
    <row r="157" spans="1:44" x14ac:dyDescent="0.2">
      <c r="A157" s="51" t="s">
        <v>1</v>
      </c>
      <c r="B157" s="72">
        <f>IF(集計表!D22=0,NA(),集計表!D22)</f>
        <v>465</v>
      </c>
      <c r="C157" s="72">
        <f>IF(集計表!E22=0,NA(),集計表!E22)</f>
        <v>499</v>
      </c>
      <c r="D157" s="72">
        <f>IF(集計表!F22=0,NA(),集計表!F22)</f>
        <v>544</v>
      </c>
      <c r="E157" s="72">
        <f>IF(集計表!G22=0,NA(),集計表!G22)</f>
        <v>684</v>
      </c>
      <c r="F157" s="72">
        <f>IF(集計表!H22=0,NA(),集計表!H22)</f>
        <v>460</v>
      </c>
      <c r="G157" s="72">
        <f>IF(集計表!I22=0,NA(),集計表!I22)</f>
        <v>611</v>
      </c>
      <c r="H157" s="72">
        <f>IF(集計表!J22=0,NA(),集計表!J22)</f>
        <v>621</v>
      </c>
      <c r="I157" s="72">
        <f>IF(集計表!K22=0,NA(),集計表!K22)</f>
        <v>477</v>
      </c>
      <c r="J157" s="72">
        <f>IF(集計表!L22=0,NA(),集計表!L22)</f>
        <v>584</v>
      </c>
      <c r="K157" s="72">
        <f>IF(集計表!M22=0,NA(),集計表!M22)</f>
        <v>468</v>
      </c>
      <c r="L157" s="72">
        <f>IF(集計表!N22=0,NA(),集計表!N22)</f>
        <v>455</v>
      </c>
      <c r="M157" s="72">
        <f>IF(集計表!O22=0,NA(),集計表!O22)</f>
        <v>451</v>
      </c>
      <c r="N157" s="72">
        <f>IF(集計表!P22=0,NA(),集計表!P22)</f>
        <v>426</v>
      </c>
      <c r="O157" s="72">
        <f>IF(集計表!Q22=0,NA(),集計表!Q22)</f>
        <v>524</v>
      </c>
      <c r="P157" s="72">
        <f>IF(集計表!R22=0,NA(),集計表!R22)</f>
        <v>488</v>
      </c>
      <c r="Q157" s="72">
        <f>IF(集計表!S22=0,NA(),集計表!S22)</f>
        <v>488</v>
      </c>
      <c r="R157" s="72">
        <f>IF(集計表!T22=0,NA(),集計表!T22)</f>
        <v>604</v>
      </c>
      <c r="S157" s="72">
        <f>IF(集計表!U22=0,NA(),集計表!U22)</f>
        <v>488</v>
      </c>
      <c r="T157" s="72">
        <f>IF(集計表!V22=0,NA(),集計表!V22)</f>
        <v>714</v>
      </c>
      <c r="U157" s="72">
        <f>IF(集計表!W22=0,NA(),集計表!W22)</f>
        <v>630</v>
      </c>
      <c r="V157" s="72">
        <f>IF(集計表!X22=0,NA(),集計表!X22)</f>
        <v>543</v>
      </c>
      <c r="W157" s="72">
        <f>IF(集計表!Y22=0,NA(),集計表!Y22)</f>
        <v>724</v>
      </c>
      <c r="X157" s="73">
        <f>IF(集計表!Z22=0,NA(),集計表!Z22)</f>
        <v>474</v>
      </c>
      <c r="Y157" s="72">
        <f>IF(集計表!AA22=0,NA(),集計表!AA22)</f>
        <v>617</v>
      </c>
      <c r="Z157" s="73">
        <f>IF(集計表!AB22=0,NA(),集計表!AB22)</f>
        <v>508</v>
      </c>
      <c r="AA157" s="72">
        <f>IF(集計表!AC22=0,NA(),集計表!AC22)</f>
        <v>480</v>
      </c>
      <c r="AB157" s="72">
        <f>IF(集計表!AD22=0,NA(),集計表!AD22)</f>
        <v>502</v>
      </c>
      <c r="AC157" s="72" t="e">
        <f>IF(集計表!AE22=0,NA(),集計表!AE22)</f>
        <v>#N/A</v>
      </c>
      <c r="AD157" s="72" t="e">
        <f>IF(集計表!AF22=0,NA(),集計表!AF22)</f>
        <v>#N/A</v>
      </c>
      <c r="AE157" s="73" t="e">
        <f>IF(集計表!AG22=0,NA(),集計表!AG22)</f>
        <v>#N/A</v>
      </c>
      <c r="AF157" s="72" t="e">
        <f>IF(集計表!AH22=0,NA(),集計表!AH22)</f>
        <v>#N/A</v>
      </c>
      <c r="AG157" s="72" t="e">
        <f>IF(集計表!AI22=0,NA(),集計表!AI22)</f>
        <v>#N/A</v>
      </c>
      <c r="AH157" s="72" t="e">
        <f>IF(集計表!AJ22=0,NA(),集計表!AJ22)</f>
        <v>#N/A</v>
      </c>
      <c r="AI157" s="72" t="e">
        <f>IF(集計表!AK22=0,NA(),集計表!AK22)</f>
        <v>#N/A</v>
      </c>
      <c r="AJ157" s="72" t="e">
        <f>IF(集計表!AL22=0,NA(),集計表!AL22)</f>
        <v>#N/A</v>
      </c>
      <c r="AK157" s="72" t="e">
        <f>IF(集計表!AM22=0,NA(),集計表!AM22)</f>
        <v>#N/A</v>
      </c>
      <c r="AL157" s="72" t="e">
        <f>IF(集計表!AN22=0,NA(),集計表!AN22)</f>
        <v>#N/A</v>
      </c>
      <c r="AM157" s="72" t="e">
        <f>IF(集計表!AO22=0,NA(),集計表!AO22)</f>
        <v>#N/A</v>
      </c>
      <c r="AN157" s="72" t="e">
        <f>IF(集計表!AP22=0,NA(),集計表!AP22)</f>
        <v>#N/A</v>
      </c>
      <c r="AO157" s="72" t="e">
        <f>IF(集計表!AQ22=0,NA(),集計表!AQ22)</f>
        <v>#N/A</v>
      </c>
      <c r="AP157" s="72" t="e">
        <f>IF(集計表!AR22=0,NA(),集計表!AR22)</f>
        <v>#N/A</v>
      </c>
      <c r="AQ157" s="72" t="e">
        <f>IF(集計表!AS22=0,NA(),集計表!AS22)</f>
        <v>#N/A</v>
      </c>
      <c r="AR157" s="72" t="e">
        <f>IF(集計表!AT22=0,NA(),集計表!AT22)</f>
        <v>#N/A</v>
      </c>
    </row>
    <row r="158" spans="1:44" x14ac:dyDescent="0.2">
      <c r="A158" s="51" t="s">
        <v>2</v>
      </c>
      <c r="B158" s="72">
        <f>集計表!D23</f>
        <v>524</v>
      </c>
      <c r="C158" s="72">
        <f>集計表!E23</f>
        <v>524</v>
      </c>
      <c r="D158" s="72">
        <f>集計表!F23</f>
        <v>524</v>
      </c>
      <c r="E158" s="72">
        <f>集計表!G23</f>
        <v>524</v>
      </c>
      <c r="F158" s="72">
        <f>集計表!H23</f>
        <v>524</v>
      </c>
      <c r="G158" s="72">
        <f>集計表!I23</f>
        <v>524</v>
      </c>
      <c r="H158" s="72">
        <f>集計表!J23</f>
        <v>524</v>
      </c>
      <c r="I158" s="72">
        <f>集計表!K23</f>
        <v>476</v>
      </c>
      <c r="J158" s="72">
        <f>集計表!L23</f>
        <v>476</v>
      </c>
      <c r="K158" s="72">
        <f>集計表!M23</f>
        <v>476</v>
      </c>
      <c r="L158" s="72">
        <f>集計表!N23</f>
        <v>476</v>
      </c>
      <c r="M158" s="72">
        <f>集計表!O23</f>
        <v>476</v>
      </c>
      <c r="N158" s="72">
        <f>集計表!P23</f>
        <v>476</v>
      </c>
      <c r="O158" s="72">
        <f>集計表!Q23</f>
        <v>476</v>
      </c>
      <c r="P158" s="72">
        <f>集計表!R23</f>
        <v>476</v>
      </c>
      <c r="Q158" s="72">
        <f>集計表!S23</f>
        <v>410</v>
      </c>
      <c r="R158" s="72">
        <f>集計表!T23</f>
        <v>410</v>
      </c>
      <c r="S158" s="72">
        <f>集計表!U23</f>
        <v>410</v>
      </c>
      <c r="T158" s="72">
        <f>集計表!V23</f>
        <v>410</v>
      </c>
      <c r="U158" s="72">
        <f>集計表!W23</f>
        <v>410</v>
      </c>
      <c r="V158" s="72">
        <f>集計表!X23</f>
        <v>410</v>
      </c>
      <c r="W158" s="72">
        <f>集計表!Y23</f>
        <v>410</v>
      </c>
      <c r="X158" s="73">
        <f>集計表!Z23</f>
        <v>358</v>
      </c>
      <c r="Y158" s="72">
        <f>集計表!AA23</f>
        <v>358</v>
      </c>
      <c r="Z158" s="73">
        <f>集計表!AB23</f>
        <v>358</v>
      </c>
      <c r="AA158" s="72">
        <f>集計表!AC23</f>
        <v>358</v>
      </c>
      <c r="AB158" s="72">
        <f>集計表!AD23</f>
        <v>358</v>
      </c>
      <c r="AC158" s="72">
        <f>集計表!AE23</f>
        <v>358</v>
      </c>
      <c r="AD158" s="72">
        <f>集計表!AF23</f>
        <v>358</v>
      </c>
      <c r="AE158" s="73">
        <f>集計表!AG23</f>
        <v>333</v>
      </c>
      <c r="AF158" s="72">
        <f>集計表!AH23</f>
        <v>333</v>
      </c>
      <c r="AG158" s="72">
        <f>集計表!AI23</f>
        <v>333</v>
      </c>
      <c r="AH158" s="72">
        <f>集計表!AJ23</f>
        <v>333</v>
      </c>
      <c r="AI158" s="72">
        <f>集計表!AK23</f>
        <v>333</v>
      </c>
      <c r="AJ158" s="72">
        <f>集計表!AL23</f>
        <v>333</v>
      </c>
      <c r="AK158" s="72">
        <f>集計表!AM23</f>
        <v>333</v>
      </c>
      <c r="AL158" s="72">
        <f>集計表!AN23</f>
        <v>333</v>
      </c>
      <c r="AM158" s="72">
        <f>集計表!AO23</f>
        <v>333</v>
      </c>
      <c r="AN158" s="72">
        <f>集計表!AP23</f>
        <v>333</v>
      </c>
      <c r="AO158" s="72">
        <f>集計表!AQ23</f>
        <v>333</v>
      </c>
      <c r="AP158" s="72">
        <f>集計表!AR23</f>
        <v>333</v>
      </c>
      <c r="AQ158" s="72">
        <f>集計表!AS23</f>
        <v>333</v>
      </c>
      <c r="AR158" s="72">
        <f>集計表!AT23</f>
        <v>333</v>
      </c>
    </row>
    <row r="159" spans="1:44" s="33" customFormat="1" ht="13.5" customHeight="1" x14ac:dyDescent="0.2">
      <c r="A159" s="52" t="s">
        <v>20</v>
      </c>
      <c r="B159" s="47">
        <f>IFERROR(B157/B158, "")</f>
        <v>0.88740458015267176</v>
      </c>
      <c r="C159" s="47">
        <f t="shared" ref="C159:AM159" si="12">IFERROR(C157/C158, "")</f>
        <v>0.95229007633587781</v>
      </c>
      <c r="D159" s="47">
        <f t="shared" si="12"/>
        <v>1.0381679389312977</v>
      </c>
      <c r="E159" s="47">
        <f t="shared" si="12"/>
        <v>1.3053435114503817</v>
      </c>
      <c r="F159" s="47">
        <f t="shared" si="12"/>
        <v>0.87786259541984735</v>
      </c>
      <c r="G159" s="47">
        <f t="shared" si="12"/>
        <v>1.166030534351145</v>
      </c>
      <c r="H159" s="47">
        <f t="shared" si="12"/>
        <v>1.1851145038167938</v>
      </c>
      <c r="I159" s="47">
        <f t="shared" si="12"/>
        <v>1.0021008403361344</v>
      </c>
      <c r="J159" s="47">
        <f t="shared" si="12"/>
        <v>1.2268907563025211</v>
      </c>
      <c r="K159" s="47">
        <f t="shared" si="12"/>
        <v>0.98319327731092432</v>
      </c>
      <c r="L159" s="47">
        <f t="shared" si="12"/>
        <v>0.95588235294117652</v>
      </c>
      <c r="M159" s="47">
        <f t="shared" si="12"/>
        <v>0.94747899159663862</v>
      </c>
      <c r="N159" s="47">
        <f t="shared" si="12"/>
        <v>0.89495798319327735</v>
      </c>
      <c r="O159" s="47">
        <f t="shared" si="12"/>
        <v>1.1008403361344539</v>
      </c>
      <c r="P159" s="47">
        <f t="shared" si="12"/>
        <v>1.0252100840336134</v>
      </c>
      <c r="Q159" s="47">
        <f t="shared" si="12"/>
        <v>1.1902439024390243</v>
      </c>
      <c r="R159" s="47">
        <f t="shared" si="12"/>
        <v>1.473170731707317</v>
      </c>
      <c r="S159" s="47">
        <f t="shared" si="12"/>
        <v>1.1902439024390243</v>
      </c>
      <c r="T159" s="47">
        <f t="shared" si="12"/>
        <v>1.7414634146341463</v>
      </c>
      <c r="U159" s="47">
        <f t="shared" si="12"/>
        <v>1.5365853658536586</v>
      </c>
      <c r="V159" s="47">
        <f t="shared" si="12"/>
        <v>1.3243902439024391</v>
      </c>
      <c r="W159" s="47">
        <f t="shared" si="12"/>
        <v>1.7658536585365854</v>
      </c>
      <c r="X159" s="47">
        <f t="shared" si="12"/>
        <v>1.3240223463687151</v>
      </c>
      <c r="Y159" s="47">
        <f t="shared" si="12"/>
        <v>1.723463687150838</v>
      </c>
      <c r="Z159" s="47">
        <f t="shared" si="12"/>
        <v>1.4189944134078212</v>
      </c>
      <c r="AA159" s="47">
        <f t="shared" si="12"/>
        <v>1.3407821229050279</v>
      </c>
      <c r="AB159" s="47">
        <f t="shared" si="12"/>
        <v>1.4022346368715084</v>
      </c>
      <c r="AC159" s="47" t="str">
        <f t="shared" si="12"/>
        <v/>
      </c>
      <c r="AD159" s="47" t="str">
        <f t="shared" si="12"/>
        <v/>
      </c>
      <c r="AE159" s="47" t="str">
        <f t="shared" si="12"/>
        <v/>
      </c>
      <c r="AF159" s="47" t="str">
        <f t="shared" si="12"/>
        <v/>
      </c>
      <c r="AG159" s="47" t="str">
        <f t="shared" si="12"/>
        <v/>
      </c>
      <c r="AH159" s="47" t="str">
        <f t="shared" si="12"/>
        <v/>
      </c>
      <c r="AI159" s="47" t="str">
        <f t="shared" si="12"/>
        <v/>
      </c>
      <c r="AJ159" s="47" t="str">
        <f t="shared" si="12"/>
        <v/>
      </c>
      <c r="AK159" s="47" t="str">
        <f t="shared" si="12"/>
        <v/>
      </c>
      <c r="AL159" s="47" t="str">
        <f t="shared" si="12"/>
        <v/>
      </c>
      <c r="AM159" s="47" t="str">
        <f t="shared" si="12"/>
        <v/>
      </c>
      <c r="AN159" s="47" t="str">
        <f t="shared" ref="AN159:AO159" si="13">IFERROR(AN157/AN158, "")</f>
        <v/>
      </c>
      <c r="AO159" s="47" t="str">
        <f t="shared" si="13"/>
        <v/>
      </c>
      <c r="AP159" s="47" t="str">
        <f t="shared" ref="AP159:AQ159" si="14">IFERROR(AP157/AP158, "")</f>
        <v/>
      </c>
      <c r="AQ159" s="47" t="str">
        <f t="shared" si="14"/>
        <v/>
      </c>
      <c r="AR159" s="47" t="str">
        <f t="shared" ref="AR159" si="15">IFERROR(AR157/AR158, "")</f>
        <v/>
      </c>
    </row>
    <row r="160" spans="1:44" s="25" customFormat="1" ht="22.5" customHeight="1" x14ac:dyDescent="0.2">
      <c r="A160" s="25" t="s">
        <v>23</v>
      </c>
      <c r="B160" s="74"/>
      <c r="C160" s="74"/>
      <c r="D160" s="75"/>
      <c r="E160" s="74"/>
      <c r="F160" s="76"/>
      <c r="G160" s="74"/>
      <c r="H160" s="74"/>
      <c r="I160" s="74"/>
      <c r="J160" s="74"/>
      <c r="K160" s="77"/>
      <c r="L160" s="74"/>
      <c r="M160" s="77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26"/>
      <c r="AM160" s="26"/>
      <c r="AN160" s="26"/>
      <c r="AO160" s="26"/>
    </row>
  </sheetData>
  <phoneticPr fontId="5"/>
  <conditionalFormatting sqref="B36">
    <cfRule type="expression" dxfId="6" priority="41" stopIfTrue="1">
      <formula>ISERROR(B36)</formula>
    </cfRule>
  </conditionalFormatting>
  <conditionalFormatting sqref="B76">
    <cfRule type="expression" dxfId="5" priority="40" stopIfTrue="1">
      <formula>ISERROR(B76)</formula>
    </cfRule>
  </conditionalFormatting>
  <conditionalFormatting sqref="B116">
    <cfRule type="expression" dxfId="4" priority="39" stopIfTrue="1">
      <formula>ISERROR(B116)</formula>
    </cfRule>
  </conditionalFormatting>
  <conditionalFormatting sqref="B156">
    <cfRule type="expression" dxfId="3" priority="38" stopIfTrue="1">
      <formula>ISERROR(B156)</formula>
    </cfRule>
  </conditionalFormatting>
  <conditionalFormatting sqref="B37:AR37 B77:AR77 B117:AR117 B157:AR157">
    <cfRule type="expression" dxfId="2" priority="47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  <rowBreaks count="3" manualBreakCount="3">
    <brk id="40" max="46" man="1"/>
    <brk id="80" max="46" man="1"/>
    <brk id="12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S160"/>
  <sheetViews>
    <sheetView showGridLines="0" tabSelected="1" zoomScale="90" zoomScaleNormal="90" zoomScaleSheetLayoutView="80" workbookViewId="0"/>
  </sheetViews>
  <sheetFormatPr defaultRowHeight="13.2" x14ac:dyDescent="0.2"/>
  <cols>
    <col min="1" max="1" width="11.77734375" bestFit="1" customWidth="1"/>
    <col min="2" max="44" width="4.109375" style="1" customWidth="1"/>
    <col min="45" max="46" width="4.109375" customWidth="1"/>
  </cols>
  <sheetData>
    <row r="1" spans="1:15" ht="15.6" x14ac:dyDescent="0.2">
      <c r="A1" s="10" t="s">
        <v>11</v>
      </c>
      <c r="B1" s="8"/>
      <c r="C1" s="8"/>
      <c r="D1" s="8"/>
      <c r="E1" s="8"/>
      <c r="F1" s="8"/>
      <c r="G1" s="8"/>
      <c r="H1" s="8"/>
      <c r="I1" s="8"/>
      <c r="J1" s="8"/>
      <c r="K1" s="8"/>
      <c r="L1" s="8" t="str">
        <f>TEXT(集計表!$C$1,"(e.m/d～)")</f>
        <v>(8.6/1～)</v>
      </c>
      <c r="M1" s="8"/>
      <c r="N1" s="8"/>
      <c r="O1" s="8"/>
    </row>
    <row r="2" spans="1:15" ht="15.6" x14ac:dyDescent="0.2">
      <c r="A2" s="10" t="s">
        <v>16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0" ht="12.75" customHeight="1" x14ac:dyDescent="0.2"/>
    <row r="31" ht="12.75" customHeight="1" x14ac:dyDescent="0.2"/>
    <row r="32" ht="12.75" customHeight="1" x14ac:dyDescent="0.2"/>
    <row r="33" spans="1:45" ht="12.75" customHeight="1" x14ac:dyDescent="0.2">
      <c r="Z33" s="22"/>
      <c r="AJ33" s="2"/>
      <c r="AK33" s="2"/>
      <c r="AL33" s="2"/>
      <c r="AM33" s="2"/>
      <c r="AN33" s="2"/>
      <c r="AO33" s="2"/>
      <c r="AP33" s="2"/>
      <c r="AQ33" s="2"/>
      <c r="AR33" s="2"/>
    </row>
    <row r="34" spans="1:45" s="31" customFormat="1" ht="15.9" customHeight="1" x14ac:dyDescent="0.2">
      <c r="B34" s="30"/>
      <c r="C34" s="30"/>
      <c r="D34" s="32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66"/>
      <c r="R34" s="32"/>
      <c r="S34" s="30"/>
      <c r="T34" s="30"/>
      <c r="U34" s="30"/>
      <c r="V34" s="30"/>
      <c r="W34" s="32"/>
      <c r="X34" s="30"/>
      <c r="Y34" s="30"/>
      <c r="Z34" s="30"/>
      <c r="AA34" s="32"/>
      <c r="AB34" s="30"/>
      <c r="AC34" s="30"/>
      <c r="AD34" s="30"/>
      <c r="AE34" s="30"/>
      <c r="AF34" s="30"/>
      <c r="AG34" s="30"/>
      <c r="AH34" s="30"/>
      <c r="AI34" s="30"/>
      <c r="AJ34" s="34"/>
      <c r="AL34" s="30"/>
      <c r="AM34" s="30"/>
      <c r="AN34" s="34"/>
      <c r="AO34" s="30"/>
      <c r="AP34" s="30"/>
      <c r="AQ34" s="30"/>
      <c r="AR34" s="30"/>
    </row>
    <row r="35" spans="1:45" ht="12.75" customHeight="1" x14ac:dyDescent="0.2">
      <c r="A35" s="48">
        <f>集計表!C27</f>
        <v>46174</v>
      </c>
      <c r="B35" s="49" t="str">
        <f>集計表!D27</f>
        <v>6/1</v>
      </c>
      <c r="C35" s="53" t="str">
        <f>集計表!E27</f>
        <v>2</v>
      </c>
      <c r="D35" s="53" t="str">
        <f>集計表!F27</f>
        <v>4</v>
      </c>
      <c r="E35" s="53" t="str">
        <f>集計表!G27</f>
        <v>5</v>
      </c>
      <c r="F35" s="54" t="str">
        <f>集計表!H27</f>
        <v>6</v>
      </c>
      <c r="G35" s="54" t="str">
        <f>集計表!I27</f>
        <v>8</v>
      </c>
      <c r="H35" s="53" t="str">
        <f>集計表!J27</f>
        <v>9</v>
      </c>
      <c r="I35" s="54" t="str">
        <f>集計表!K27</f>
        <v>11</v>
      </c>
      <c r="J35" s="54" t="str">
        <f>集計表!L27</f>
        <v>12</v>
      </c>
      <c r="K35" s="54" t="str">
        <f>集計表!M27</f>
        <v>13</v>
      </c>
      <c r="L35" s="54" t="str">
        <f>集計表!N27</f>
        <v>15</v>
      </c>
      <c r="M35" s="54" t="str">
        <f>集計表!O27</f>
        <v>16</v>
      </c>
      <c r="N35" s="54" t="str">
        <f>集計表!P27</f>
        <v>18</v>
      </c>
      <c r="O35" s="54" t="str">
        <f>集計表!Q27</f>
        <v>19</v>
      </c>
      <c r="P35" s="53" t="str">
        <f>集計表!R27</f>
        <v>20</v>
      </c>
      <c r="Q35" s="53" t="str">
        <f>集計表!S27</f>
        <v>22</v>
      </c>
      <c r="R35" s="53" t="str">
        <f>集計表!T27</f>
        <v>23</v>
      </c>
      <c r="S35" s="54" t="str">
        <f>集計表!U27</f>
        <v>25</v>
      </c>
      <c r="T35" s="54" t="str">
        <f>集計表!V27</f>
        <v>26</v>
      </c>
      <c r="U35" s="54" t="str">
        <f>集計表!W27</f>
        <v>27</v>
      </c>
      <c r="V35" s="55" t="str">
        <f>集計表!X27</f>
        <v>29</v>
      </c>
      <c r="W35" s="55" t="str">
        <f>集計表!Y27</f>
        <v>30</v>
      </c>
      <c r="X35" s="56" t="str">
        <f>集計表!Z27</f>
        <v>7/2</v>
      </c>
      <c r="Y35" s="53" t="str">
        <f>集計表!AA27</f>
        <v>3</v>
      </c>
      <c r="Z35" s="53" t="str">
        <f>集計表!AB27</f>
        <v>4</v>
      </c>
      <c r="AA35" s="53" t="str">
        <f>集計表!AC27</f>
        <v>6</v>
      </c>
      <c r="AB35" s="54" t="str">
        <f>集計表!AD27</f>
        <v>7</v>
      </c>
      <c r="AC35" s="54" t="str">
        <f>集計表!AE27</f>
        <v>9</v>
      </c>
      <c r="AD35" s="53" t="str">
        <f>集計表!AF27</f>
        <v>10</v>
      </c>
      <c r="AE35" s="54" t="str">
        <f>集計表!AG27</f>
        <v>11</v>
      </c>
      <c r="AF35" s="54" t="str">
        <f>集計表!AH27</f>
        <v>13</v>
      </c>
      <c r="AG35" s="54" t="str">
        <f>集計表!AI27</f>
        <v>14</v>
      </c>
      <c r="AH35" s="54" t="str">
        <f>集計表!AJ27</f>
        <v>16</v>
      </c>
      <c r="AI35" s="54" t="str">
        <f>集計表!AK27</f>
        <v>17</v>
      </c>
      <c r="AJ35" s="54" t="str">
        <f>集計表!AL27</f>
        <v>18</v>
      </c>
      <c r="AK35" s="54" t="str">
        <f>集計表!AM27</f>
        <v>21</v>
      </c>
      <c r="AL35" s="53" t="str">
        <f>集計表!AN27</f>
        <v>23</v>
      </c>
      <c r="AM35" s="53" t="str">
        <f>集計表!AO27</f>
        <v>24</v>
      </c>
      <c r="AN35" s="53" t="str">
        <f>集計表!AP27</f>
        <v>25</v>
      </c>
      <c r="AO35" s="53" t="str">
        <f>集計表!AQ27</f>
        <v>27</v>
      </c>
      <c r="AP35" s="53" t="str">
        <f>集計表!AR27</f>
        <v>28</v>
      </c>
      <c r="AQ35" s="53" t="str">
        <f>集計表!AS27</f>
        <v>30</v>
      </c>
      <c r="AR35" s="53" t="str">
        <f>集計表!AT27</f>
        <v>31</v>
      </c>
    </row>
    <row r="36" spans="1:45" ht="12.75" customHeight="1" x14ac:dyDescent="0.2">
      <c r="A36" s="51" t="s">
        <v>0</v>
      </c>
      <c r="B36" s="23">
        <f>IF(集計表!D29="","",集計表!D29)</f>
        <v>491.77499999999998</v>
      </c>
      <c r="C36" s="23">
        <f>IF(集計表!E29="","",集計表!E29)</f>
        <v>270.517</v>
      </c>
      <c r="D36" s="23">
        <f>IF(集計表!F29="","",集計表!F29)</f>
        <v>456.22</v>
      </c>
      <c r="E36" s="23">
        <f>IF(集計表!G29="","",集計表!G29)</f>
        <v>220.46</v>
      </c>
      <c r="F36" s="23">
        <f>IF(集計表!H29="","",集計表!H29)</f>
        <v>321.81599999999997</v>
      </c>
      <c r="G36" s="23">
        <f>IF(集計表!I29="","",集計表!I29)</f>
        <v>299.99900000000002</v>
      </c>
      <c r="H36" s="23">
        <f>IF(集計表!J29="","",集計表!J29)</f>
        <v>254.62799999999999</v>
      </c>
      <c r="I36" s="23">
        <f>IF(集計表!K29="","",集計表!K29)</f>
        <v>322.13400000000001</v>
      </c>
      <c r="J36" s="23">
        <f>IF(集計表!L29="","",集計表!L29)</f>
        <v>251.441</v>
      </c>
      <c r="K36" s="23">
        <f>IF(集計表!M29="","",集計表!M29)</f>
        <v>237.11699999999999</v>
      </c>
      <c r="L36" s="23">
        <f>IF(集計表!N29="","",集計表!N29)</f>
        <v>278.34100000000001</v>
      </c>
      <c r="M36" s="23">
        <f>IF(集計表!O29="","",集計表!O29)</f>
        <v>173.358</v>
      </c>
      <c r="N36" s="23">
        <f>IF(集計表!P29="","",集計表!P29)</f>
        <v>250.917</v>
      </c>
      <c r="O36" s="23">
        <f>IF(集計表!Q29="","",集計表!Q29)</f>
        <v>207.6</v>
      </c>
      <c r="P36" s="23">
        <f>IF(集計表!R29="","",集計表!R29)</f>
        <v>301.50200000000001</v>
      </c>
      <c r="Q36" s="23">
        <f>IF(集計表!S29="","",集計表!S29)</f>
        <v>237.49600000000001</v>
      </c>
      <c r="R36" s="23">
        <f>IF(集計表!T29="","",集計表!T29)</f>
        <v>170.73699999999999</v>
      </c>
      <c r="S36" s="23">
        <f>IF(集計表!U29="","",集計表!U29)</f>
        <v>225.88</v>
      </c>
      <c r="T36" s="23">
        <f>IF(集計表!V29="","",集計表!V29)</f>
        <v>148.95500000000001</v>
      </c>
      <c r="U36" s="24">
        <f>IF(集計表!W29="","",集計表!W29)</f>
        <v>197.96799999999999</v>
      </c>
      <c r="V36" s="23">
        <f>IF(集計表!X29="","",集計表!X29)</f>
        <v>149.48599999999999</v>
      </c>
      <c r="W36" s="23">
        <f>IF(集計表!Y29="","",集計表!Y29)</f>
        <v>154.53299999999999</v>
      </c>
      <c r="X36" s="23">
        <f>IF(集計表!Z29="","",集計表!Z29)</f>
        <v>171.19900000000001</v>
      </c>
      <c r="Y36" s="23">
        <f>IF(集計表!AA29="","",集計表!AA29)</f>
        <v>122.874</v>
      </c>
      <c r="Z36" s="23">
        <f>IF(集計表!AB29="","",集計表!AB29)</f>
        <v>111.675</v>
      </c>
      <c r="AA36" s="23">
        <f>IF(集計表!AC29="","",集計表!AC29)</f>
        <v>151.52799999999999</v>
      </c>
      <c r="AB36" s="23">
        <f>IF(集計表!AD29="","",集計表!AD29)</f>
        <v>97.048000000000002</v>
      </c>
      <c r="AC36" s="23" t="str">
        <f>IF(集計表!AE29="","",集計表!AE29)</f>
        <v/>
      </c>
      <c r="AD36" s="23" t="str">
        <f>IF(集計表!AF29="","",集計表!AF29)</f>
        <v/>
      </c>
      <c r="AE36" s="23" t="str">
        <f>IF(集計表!AG29="","",集計表!AG29)</f>
        <v/>
      </c>
      <c r="AF36" s="23" t="str">
        <f>IF(集計表!AH29="","",集計表!AH29)</f>
        <v/>
      </c>
      <c r="AG36" s="23" t="str">
        <f>IF(集計表!AI29="","",集計表!AI29)</f>
        <v/>
      </c>
      <c r="AH36" s="23" t="str">
        <f>IF(集計表!AJ29="","",集計表!AJ29)</f>
        <v/>
      </c>
      <c r="AI36" s="23" t="str">
        <f>IF(集計表!AK29="","",集計表!AK29)</f>
        <v/>
      </c>
      <c r="AJ36" s="23" t="str">
        <f>IF(集計表!AL29="","",集計表!AL29)</f>
        <v/>
      </c>
      <c r="AK36" s="23" t="str">
        <f>IF(集計表!AM29="","",集計表!AM29)</f>
        <v/>
      </c>
      <c r="AL36" s="23" t="str">
        <f>IF(集計表!AN29="","",集計表!AN29)</f>
        <v/>
      </c>
      <c r="AM36" s="23" t="str">
        <f>IF(集計表!AO29="","",集計表!AO29)</f>
        <v/>
      </c>
      <c r="AN36" s="23" t="str">
        <f>IF(集計表!AP29="","",集計表!AP29)</f>
        <v/>
      </c>
      <c r="AO36" s="23" t="str">
        <f>IF(集計表!AQ29="","",集計表!AQ29)</f>
        <v/>
      </c>
      <c r="AP36" s="23" t="str">
        <f>IF(集計表!AR29="","",集計表!AR29)</f>
        <v/>
      </c>
      <c r="AQ36" s="23" t="str">
        <f>IF(集計表!AS29="","",集計表!AS29)</f>
        <v/>
      </c>
      <c r="AR36" s="23" t="str">
        <f>IF(集計表!AT29="","",集計表!AT29)</f>
        <v/>
      </c>
    </row>
    <row r="37" spans="1:45" ht="12.75" customHeight="1" x14ac:dyDescent="0.2">
      <c r="A37" s="51" t="s">
        <v>1</v>
      </c>
      <c r="B37" s="23">
        <f>IF(集計表!D30=0,NA(),集計表!D30)</f>
        <v>145</v>
      </c>
      <c r="C37" s="23">
        <f>IF(集計表!E30=0,NA(),集計表!E30)</f>
        <v>143</v>
      </c>
      <c r="D37" s="23">
        <f>IF(集計表!F30=0,NA(),集計表!F30)</f>
        <v>145</v>
      </c>
      <c r="E37" s="23">
        <f>IF(集計表!G30=0,NA(),集計表!G30)</f>
        <v>151</v>
      </c>
      <c r="F37" s="23">
        <f>IF(集計表!H30=0,NA(),集計表!H30)</f>
        <v>146</v>
      </c>
      <c r="G37" s="23">
        <f>IF(集計表!I30=0,NA(),集計表!I30)</f>
        <v>154</v>
      </c>
      <c r="H37" s="23">
        <f>IF(集計表!J30=0,NA(),集計表!J30)</f>
        <v>163</v>
      </c>
      <c r="I37" s="23">
        <f>IF(集計表!K30=0,NA(),集計表!K30)</f>
        <v>170</v>
      </c>
      <c r="J37" s="23">
        <f>IF(集計表!L30=0,NA(),集計表!L30)</f>
        <v>175</v>
      </c>
      <c r="K37" s="23">
        <f>IF(集計表!M30=0,NA(),集計表!M30)</f>
        <v>191</v>
      </c>
      <c r="L37" s="23">
        <f>IF(集計表!N30=0,NA(),集計表!N30)</f>
        <v>178</v>
      </c>
      <c r="M37" s="23">
        <f>IF(集計表!O30=0,NA(),集計表!O30)</f>
        <v>192</v>
      </c>
      <c r="N37" s="23">
        <f>IF(集計表!P30=0,NA(),集計表!P30)</f>
        <v>201</v>
      </c>
      <c r="O37" s="23">
        <f>IF(集計表!Q30=0,NA(),集計表!Q30)</f>
        <v>191</v>
      </c>
      <c r="P37" s="23">
        <f>IF(集計表!R30=0,NA(),集計表!R30)</f>
        <v>200</v>
      </c>
      <c r="Q37" s="23">
        <f>IF(集計表!S30=0,NA(),集計表!S30)</f>
        <v>204</v>
      </c>
      <c r="R37" s="23">
        <f>IF(集計表!T30=0,NA(),集計表!T30)</f>
        <v>190</v>
      </c>
      <c r="S37" s="23">
        <f>IF(集計表!U30=0,NA(),集計表!U30)</f>
        <v>203</v>
      </c>
      <c r="T37" s="23">
        <f>IF(集計表!V30=0,NA(),集計表!V30)</f>
        <v>235</v>
      </c>
      <c r="U37" s="24">
        <f>IF(集計表!W30=0,NA(),集計表!W30)</f>
        <v>233</v>
      </c>
      <c r="V37" s="23">
        <f>IF(集計表!X30=0,NA(),集計表!X30)</f>
        <v>212</v>
      </c>
      <c r="W37" s="23">
        <f>IF(集計表!Y30=0,NA(),集計表!Y30)</f>
        <v>217</v>
      </c>
      <c r="X37" s="23">
        <f>IF(集計表!Z30=0,NA(),集計表!Z30)</f>
        <v>219</v>
      </c>
      <c r="Y37" s="23">
        <f>IF(集計表!AA30=0,NA(),集計表!AA30)</f>
        <v>234</v>
      </c>
      <c r="Z37" s="23">
        <f>IF(集計表!AB30=0,NA(),集計表!AB30)</f>
        <v>229</v>
      </c>
      <c r="AA37" s="23">
        <f>IF(集計表!AC30=0,NA(),集計表!AC30)</f>
        <v>244</v>
      </c>
      <c r="AB37" s="23">
        <f>IF(集計表!AD30=0,NA(),集計表!AD30)</f>
        <v>237</v>
      </c>
      <c r="AC37" s="23" t="e">
        <f>IF(集計表!AE30=0,NA(),集計表!AE30)</f>
        <v>#N/A</v>
      </c>
      <c r="AD37" s="23" t="e">
        <f>IF(集計表!AF30=0,NA(),集計表!AF30)</f>
        <v>#N/A</v>
      </c>
      <c r="AE37" s="23" t="e">
        <f>IF(集計表!AG30=0,NA(),集計表!AG30)</f>
        <v>#N/A</v>
      </c>
      <c r="AF37" s="23" t="e">
        <f>IF(集計表!AH30=0,NA(),集計表!AH30)</f>
        <v>#N/A</v>
      </c>
      <c r="AG37" s="23" t="e">
        <f>IF(集計表!AI30=0,NA(),集計表!AI30)</f>
        <v>#N/A</v>
      </c>
      <c r="AH37" s="23" t="e">
        <f>IF(集計表!AJ30=0,NA(),集計表!AJ30)</f>
        <v>#N/A</v>
      </c>
      <c r="AI37" s="23" t="e">
        <f>IF(集計表!AK30=0,NA(),集計表!AK30)</f>
        <v>#N/A</v>
      </c>
      <c r="AJ37" s="23" t="e">
        <f>IF(集計表!AL30=0,NA(),集計表!AL30)</f>
        <v>#N/A</v>
      </c>
      <c r="AK37" s="23" t="e">
        <f>IF(集計表!AM30=0,NA(),集計表!AM30)</f>
        <v>#N/A</v>
      </c>
      <c r="AL37" s="23" t="e">
        <f>IF(集計表!AN30=0,NA(),集計表!AN30)</f>
        <v>#N/A</v>
      </c>
      <c r="AM37" s="23" t="e">
        <f>IF(集計表!AO30=0,NA(),集計表!AO30)</f>
        <v>#N/A</v>
      </c>
      <c r="AN37" s="23" t="e">
        <f>IF(集計表!AP30=0,NA(),集計表!AP30)</f>
        <v>#N/A</v>
      </c>
      <c r="AO37" s="23" t="e">
        <f>IF(集計表!AQ30=0,NA(),集計表!AQ30)</f>
        <v>#N/A</v>
      </c>
      <c r="AP37" s="23" t="e">
        <f>IF(集計表!AR30=0,NA(),集計表!AR30)</f>
        <v>#N/A</v>
      </c>
      <c r="AQ37" s="23" t="e">
        <f>IF(集計表!AS30=0,NA(),集計表!AS30)</f>
        <v>#N/A</v>
      </c>
      <c r="AR37" s="23" t="e">
        <f>IF(集計表!AT30=0,NA(),集計表!AT30)</f>
        <v>#N/A</v>
      </c>
    </row>
    <row r="38" spans="1:45" ht="12.75" customHeight="1" x14ac:dyDescent="0.2">
      <c r="A38" s="51" t="s">
        <v>2</v>
      </c>
      <c r="B38" s="23">
        <f>集計表!D31</f>
        <v>201</v>
      </c>
      <c r="C38" s="23">
        <f>集計表!E31</f>
        <v>201</v>
      </c>
      <c r="D38" s="23">
        <f>集計表!F31</f>
        <v>201</v>
      </c>
      <c r="E38" s="23">
        <f>集計表!G31</f>
        <v>201</v>
      </c>
      <c r="F38" s="23">
        <f>集計表!H31</f>
        <v>201</v>
      </c>
      <c r="G38" s="23">
        <f>集計表!I31</f>
        <v>201</v>
      </c>
      <c r="H38" s="23">
        <f>集計表!J31</f>
        <v>201</v>
      </c>
      <c r="I38" s="23">
        <f>集計表!K31</f>
        <v>182</v>
      </c>
      <c r="J38" s="23">
        <f>集計表!L31</f>
        <v>182</v>
      </c>
      <c r="K38" s="23">
        <f>集計表!M31</f>
        <v>182</v>
      </c>
      <c r="L38" s="23">
        <f>集計表!N31</f>
        <v>182</v>
      </c>
      <c r="M38" s="23">
        <f>集計表!O31</f>
        <v>182</v>
      </c>
      <c r="N38" s="23">
        <f>集計表!P31</f>
        <v>182</v>
      </c>
      <c r="O38" s="23">
        <f>集計表!Q31</f>
        <v>182</v>
      </c>
      <c r="P38" s="23">
        <f>集計表!R31</f>
        <v>182</v>
      </c>
      <c r="Q38" s="23">
        <f>集計表!S31</f>
        <v>160</v>
      </c>
      <c r="R38" s="23">
        <f>集計表!T31</f>
        <v>160</v>
      </c>
      <c r="S38" s="23">
        <f>集計表!U31</f>
        <v>160</v>
      </c>
      <c r="T38" s="23">
        <f>集計表!V31</f>
        <v>160</v>
      </c>
      <c r="U38" s="24">
        <f>集計表!W31</f>
        <v>160</v>
      </c>
      <c r="V38" s="23">
        <f>集計表!X31</f>
        <v>160</v>
      </c>
      <c r="W38" s="23">
        <f>集計表!Y31</f>
        <v>160</v>
      </c>
      <c r="X38" s="23">
        <f>集計表!Z31</f>
        <v>156</v>
      </c>
      <c r="Y38" s="23">
        <f>集計表!AA31</f>
        <v>156</v>
      </c>
      <c r="Z38" s="23">
        <f>集計表!AB31</f>
        <v>156</v>
      </c>
      <c r="AA38" s="23">
        <f>集計表!AC31</f>
        <v>156</v>
      </c>
      <c r="AB38" s="23">
        <f>集計表!AD31</f>
        <v>156</v>
      </c>
      <c r="AC38" s="23">
        <f>集計表!AE31</f>
        <v>156</v>
      </c>
      <c r="AD38" s="23">
        <f>集計表!AF31</f>
        <v>156</v>
      </c>
      <c r="AE38" s="23">
        <f>集計表!AG31</f>
        <v>157</v>
      </c>
      <c r="AF38" s="23">
        <f>集計表!AH31</f>
        <v>157</v>
      </c>
      <c r="AG38" s="23">
        <f>集計表!AI31</f>
        <v>157</v>
      </c>
      <c r="AH38" s="23">
        <f>集計表!AJ31</f>
        <v>157</v>
      </c>
      <c r="AI38" s="23">
        <f>集計表!AK31</f>
        <v>157</v>
      </c>
      <c r="AJ38" s="23">
        <f>集計表!AL31</f>
        <v>157</v>
      </c>
      <c r="AK38" s="23">
        <f>集計表!AM31</f>
        <v>157</v>
      </c>
      <c r="AL38" s="23">
        <f>集計表!AN31</f>
        <v>157</v>
      </c>
      <c r="AM38" s="23">
        <f>集計表!AO31</f>
        <v>157</v>
      </c>
      <c r="AN38" s="23">
        <f>集計表!AP31</f>
        <v>157</v>
      </c>
      <c r="AO38" s="23">
        <f>集計表!AQ31</f>
        <v>157</v>
      </c>
      <c r="AP38" s="23">
        <f>集計表!AR31</f>
        <v>157</v>
      </c>
      <c r="AQ38" s="23">
        <f>集計表!AS31</f>
        <v>157</v>
      </c>
      <c r="AR38" s="23">
        <f>集計表!AT31</f>
        <v>157</v>
      </c>
    </row>
    <row r="39" spans="1:45" ht="12.75" customHeight="1" x14ac:dyDescent="0.2">
      <c r="A39" s="52" t="s">
        <v>20</v>
      </c>
      <c r="B39" s="46">
        <f>IFERROR(B37/B38, "")</f>
        <v>0.72139303482587069</v>
      </c>
      <c r="C39" s="47">
        <f t="shared" ref="C39:AM39" si="0">IFERROR(C37/C38, "")</f>
        <v>0.71144278606965172</v>
      </c>
      <c r="D39" s="46">
        <f t="shared" si="0"/>
        <v>0.72139303482587069</v>
      </c>
      <c r="E39" s="46">
        <f t="shared" si="0"/>
        <v>0.75124378109452739</v>
      </c>
      <c r="F39" s="46">
        <f t="shared" si="0"/>
        <v>0.72636815920398012</v>
      </c>
      <c r="G39" s="46">
        <f t="shared" si="0"/>
        <v>0.76616915422885568</v>
      </c>
      <c r="H39" s="47">
        <f t="shared" si="0"/>
        <v>0.81094527363184077</v>
      </c>
      <c r="I39" s="46">
        <f t="shared" si="0"/>
        <v>0.93406593406593408</v>
      </c>
      <c r="J39" s="46">
        <f t="shared" si="0"/>
        <v>0.96153846153846156</v>
      </c>
      <c r="K39" s="46">
        <f t="shared" si="0"/>
        <v>1.0494505494505495</v>
      </c>
      <c r="L39" s="46">
        <f t="shared" si="0"/>
        <v>0.97802197802197799</v>
      </c>
      <c r="M39" s="46">
        <f t="shared" si="0"/>
        <v>1.054945054945055</v>
      </c>
      <c r="N39" s="46">
        <f t="shared" si="0"/>
        <v>1.1043956043956045</v>
      </c>
      <c r="O39" s="46">
        <f t="shared" si="0"/>
        <v>1.0494505494505495</v>
      </c>
      <c r="P39" s="46">
        <f t="shared" si="0"/>
        <v>1.098901098901099</v>
      </c>
      <c r="Q39" s="47">
        <f t="shared" si="0"/>
        <v>1.2749999999999999</v>
      </c>
      <c r="R39" s="47">
        <f t="shared" si="0"/>
        <v>1.1875</v>
      </c>
      <c r="S39" s="46">
        <f t="shared" si="0"/>
        <v>1.26875</v>
      </c>
      <c r="T39" s="46">
        <f t="shared" si="0"/>
        <v>1.46875</v>
      </c>
      <c r="U39" s="46">
        <f t="shared" si="0"/>
        <v>1.45625</v>
      </c>
      <c r="V39" s="46">
        <f t="shared" si="0"/>
        <v>1.325</v>
      </c>
      <c r="W39" s="46">
        <f t="shared" si="0"/>
        <v>1.35625</v>
      </c>
      <c r="X39" s="46">
        <f t="shared" si="0"/>
        <v>1.4038461538461537</v>
      </c>
      <c r="Y39" s="46">
        <f t="shared" si="0"/>
        <v>1.5</v>
      </c>
      <c r="Z39" s="47">
        <f t="shared" si="0"/>
        <v>1.4679487179487178</v>
      </c>
      <c r="AA39" s="46">
        <f t="shared" si="0"/>
        <v>1.5641025641025641</v>
      </c>
      <c r="AB39" s="46">
        <f t="shared" si="0"/>
        <v>1.5192307692307692</v>
      </c>
      <c r="AC39" s="46" t="str">
        <f t="shared" si="0"/>
        <v/>
      </c>
      <c r="AD39" s="47" t="str">
        <f t="shared" si="0"/>
        <v/>
      </c>
      <c r="AE39" s="46" t="str">
        <f t="shared" si="0"/>
        <v/>
      </c>
      <c r="AF39" s="46" t="str">
        <f t="shared" si="0"/>
        <v/>
      </c>
      <c r="AG39" s="46" t="str">
        <f t="shared" si="0"/>
        <v/>
      </c>
      <c r="AH39" s="46" t="str">
        <f t="shared" si="0"/>
        <v/>
      </c>
      <c r="AI39" s="46" t="str">
        <f t="shared" si="0"/>
        <v/>
      </c>
      <c r="AJ39" s="46" t="str">
        <f t="shared" si="0"/>
        <v/>
      </c>
      <c r="AK39" s="46" t="str">
        <f t="shared" si="0"/>
        <v/>
      </c>
      <c r="AL39" s="47" t="str">
        <f t="shared" si="0"/>
        <v/>
      </c>
      <c r="AM39" s="47" t="str">
        <f t="shared" si="0"/>
        <v/>
      </c>
      <c r="AN39" s="47" t="str">
        <f t="shared" ref="AN39:AO39" si="1">IFERROR(AN37/AN38, "")</f>
        <v/>
      </c>
      <c r="AO39" s="47" t="str">
        <f t="shared" si="1"/>
        <v/>
      </c>
      <c r="AP39" s="47" t="str">
        <f t="shared" ref="AP39:AQ39" si="2">IFERROR(AP37/AP38, "")</f>
        <v/>
      </c>
      <c r="AQ39" s="47" t="str">
        <f t="shared" si="2"/>
        <v/>
      </c>
      <c r="AR39" s="47" t="str">
        <f t="shared" ref="AR39" si="3">IFERROR(AR37/AR38, "")</f>
        <v/>
      </c>
    </row>
    <row r="40" spans="1:45" s="25" customFormat="1" ht="30" customHeight="1" x14ac:dyDescent="0.2">
      <c r="A40" s="25" t="s">
        <v>23</v>
      </c>
      <c r="B40" s="26"/>
      <c r="C40" s="26"/>
      <c r="D40" s="27"/>
      <c r="E40" s="26"/>
      <c r="F40" s="28"/>
      <c r="G40" s="26"/>
      <c r="H40" s="26"/>
      <c r="I40" s="26"/>
      <c r="J40" s="26"/>
      <c r="K40" s="29"/>
      <c r="L40" s="26"/>
      <c r="M40" s="29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Q40"/>
      <c r="AR40"/>
      <c r="AS40"/>
    </row>
    <row r="41" spans="1:45" ht="15.6" x14ac:dyDescent="0.2">
      <c r="A41" s="10" t="s">
        <v>11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 t="str">
        <f>TEXT(集計表!$C$1,"(e.m/d～)")</f>
        <v>(8.6/1～)</v>
      </c>
      <c r="M41" s="8"/>
      <c r="N41" s="8"/>
      <c r="O41" s="8"/>
    </row>
    <row r="42" spans="1:45" ht="15.6" x14ac:dyDescent="0.2">
      <c r="A42" s="10" t="s">
        <v>13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45" ht="13.5" customHeight="1" x14ac:dyDescent="0.2"/>
    <row r="44" spans="1:45" ht="13.5" customHeight="1" x14ac:dyDescent="0.2"/>
    <row r="45" spans="1:45" ht="13.5" customHeight="1" x14ac:dyDescent="0.2"/>
    <row r="46" spans="1:45" ht="13.5" customHeight="1" x14ac:dyDescent="0.2"/>
    <row r="47" spans="1:45" ht="13.5" customHeight="1" x14ac:dyDescent="0.2"/>
    <row r="48" spans="1:45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spans="1:44" ht="13.5" customHeight="1" x14ac:dyDescent="0.2"/>
    <row r="66" spans="1:44" ht="13.5" customHeight="1" x14ac:dyDescent="0.2"/>
    <row r="67" spans="1:44" ht="13.5" customHeight="1" x14ac:dyDescent="0.2"/>
    <row r="68" spans="1:44" ht="13.5" customHeight="1" x14ac:dyDescent="0.2"/>
    <row r="69" spans="1:44" ht="13.5" customHeight="1" x14ac:dyDescent="0.2"/>
    <row r="70" spans="1:44" ht="13.5" customHeight="1" x14ac:dyDescent="0.2"/>
    <row r="71" spans="1:44" ht="13.5" customHeight="1" x14ac:dyDescent="0.2"/>
    <row r="72" spans="1:44" ht="13.5" customHeight="1" x14ac:dyDescent="0.2"/>
    <row r="73" spans="1:44" ht="13.5" customHeight="1" x14ac:dyDescent="0.2"/>
    <row r="74" spans="1:44" s="31" customFormat="1" ht="16.2" customHeight="1" x14ac:dyDescent="0.2">
      <c r="B74" s="30"/>
      <c r="C74" s="30"/>
      <c r="D74" s="32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66"/>
      <c r="R74" s="32"/>
      <c r="S74" s="30"/>
      <c r="T74" s="30"/>
      <c r="U74" s="30"/>
      <c r="V74" s="30"/>
      <c r="W74" s="30"/>
      <c r="X74" s="30"/>
      <c r="Y74" s="30"/>
      <c r="Z74" s="30"/>
      <c r="AA74" s="32"/>
      <c r="AB74" s="30"/>
      <c r="AC74" s="30"/>
      <c r="AD74" s="30"/>
      <c r="AE74" s="30"/>
      <c r="AF74" s="30"/>
      <c r="AG74" s="30"/>
      <c r="AH74" s="30"/>
      <c r="AI74" s="30"/>
      <c r="AJ74" s="34"/>
      <c r="AL74" s="30"/>
      <c r="AM74" s="30"/>
      <c r="AN74" s="34"/>
      <c r="AO74" s="30"/>
      <c r="AP74" s="30"/>
      <c r="AQ74" s="30"/>
      <c r="AR74" s="30"/>
    </row>
    <row r="75" spans="1:44" ht="13.5" customHeight="1" x14ac:dyDescent="0.2">
      <c r="A75" s="48">
        <f>集計表!C33</f>
        <v>46174</v>
      </c>
      <c r="B75" s="57" t="str">
        <f>集計表!D33</f>
        <v>6/1</v>
      </c>
      <c r="C75" s="50" t="str">
        <f>集計表!E33</f>
        <v>2</v>
      </c>
      <c r="D75" s="50" t="str">
        <f>集計表!F33</f>
        <v>4</v>
      </c>
      <c r="E75" s="50" t="str">
        <f>集計表!G33</f>
        <v>5</v>
      </c>
      <c r="F75" s="50" t="str">
        <f>集計表!H33</f>
        <v>6</v>
      </c>
      <c r="G75" s="50" t="str">
        <f>集計表!I33</f>
        <v>8</v>
      </c>
      <c r="H75" s="50" t="str">
        <f>集計表!J33</f>
        <v>9</v>
      </c>
      <c r="I75" s="50" t="str">
        <f>集計表!K33</f>
        <v>11</v>
      </c>
      <c r="J75" s="50" t="str">
        <f>集計表!L33</f>
        <v>12</v>
      </c>
      <c r="K75" s="50" t="str">
        <f>集計表!M33</f>
        <v>13</v>
      </c>
      <c r="L75" s="50" t="str">
        <f>集計表!N33</f>
        <v>15</v>
      </c>
      <c r="M75" s="50" t="str">
        <f>集計表!O33</f>
        <v>16</v>
      </c>
      <c r="N75" s="50" t="str">
        <f>集計表!P33</f>
        <v>18</v>
      </c>
      <c r="O75" s="50" t="str">
        <f>集計表!Q33</f>
        <v>19</v>
      </c>
      <c r="P75" s="50" t="str">
        <f>集計表!R33</f>
        <v>20</v>
      </c>
      <c r="Q75" s="50" t="str">
        <f>集計表!S33</f>
        <v>22</v>
      </c>
      <c r="R75" s="50" t="str">
        <f>集計表!T33</f>
        <v>23</v>
      </c>
      <c r="S75" s="50" t="str">
        <f>集計表!U33</f>
        <v>25</v>
      </c>
      <c r="T75" s="50" t="str">
        <f>集計表!V33</f>
        <v>26</v>
      </c>
      <c r="U75" s="50" t="str">
        <f>集計表!W33</f>
        <v>27</v>
      </c>
      <c r="V75" s="50" t="str">
        <f>集計表!X33</f>
        <v>29</v>
      </c>
      <c r="W75" s="50" t="str">
        <f>集計表!Y33</f>
        <v>30</v>
      </c>
      <c r="X75" s="50" t="str">
        <f>集計表!Z33</f>
        <v>7/2</v>
      </c>
      <c r="Y75" s="50" t="str">
        <f>集計表!AA33</f>
        <v>3</v>
      </c>
      <c r="Z75" s="50" t="str">
        <f>集計表!AB33</f>
        <v>4</v>
      </c>
      <c r="AA75" s="50" t="str">
        <f>集計表!AC33</f>
        <v>6</v>
      </c>
      <c r="AB75" s="50" t="str">
        <f>集計表!AD33</f>
        <v>7</v>
      </c>
      <c r="AC75" s="50" t="str">
        <f>集計表!AE33</f>
        <v>9</v>
      </c>
      <c r="AD75" s="50" t="str">
        <f>集計表!AF33</f>
        <v>10</v>
      </c>
      <c r="AE75" s="50" t="str">
        <f>集計表!AG33</f>
        <v>11</v>
      </c>
      <c r="AF75" s="50" t="str">
        <f>集計表!AH33</f>
        <v>13</v>
      </c>
      <c r="AG75" s="50" t="str">
        <f>集計表!AI33</f>
        <v>14</v>
      </c>
      <c r="AH75" s="50" t="str">
        <f>集計表!AJ33</f>
        <v>16</v>
      </c>
      <c r="AI75" s="50" t="str">
        <f>集計表!AK33</f>
        <v>17</v>
      </c>
      <c r="AJ75" s="50" t="str">
        <f>集計表!AL33</f>
        <v>18</v>
      </c>
      <c r="AK75" s="50" t="str">
        <f>集計表!AM33</f>
        <v>21</v>
      </c>
      <c r="AL75" s="50" t="str">
        <f>集計表!AN33</f>
        <v>23</v>
      </c>
      <c r="AM75" s="50" t="str">
        <f>集計表!AO33</f>
        <v>24</v>
      </c>
      <c r="AN75" s="50" t="str">
        <f>集計表!AP33</f>
        <v>25</v>
      </c>
      <c r="AO75" s="50" t="str">
        <f>集計表!AQ33</f>
        <v>27</v>
      </c>
      <c r="AP75" s="50" t="str">
        <f>集計表!AR33</f>
        <v>28</v>
      </c>
      <c r="AQ75" s="50" t="str">
        <f>集計表!AS33</f>
        <v>30</v>
      </c>
      <c r="AR75" s="50" t="str">
        <f>集計表!AT33</f>
        <v>31</v>
      </c>
    </row>
    <row r="76" spans="1:44" ht="13.5" customHeight="1" x14ac:dyDescent="0.2">
      <c r="A76" s="51" t="s">
        <v>0</v>
      </c>
      <c r="B76" s="23">
        <f>IF(集計表!D35="","",集計表!D35)</f>
        <v>142.58199999999999</v>
      </c>
      <c r="C76" s="23">
        <f>IF(集計表!E35="","",集計表!E35)</f>
        <v>123.86</v>
      </c>
      <c r="D76" s="23">
        <f>IF(集計表!F35="","",集計表!F35)</f>
        <v>117.43899999999999</v>
      </c>
      <c r="E76" s="23">
        <f>IF(集計表!G35="","",集計表!G35)</f>
        <v>120.44499999999999</v>
      </c>
      <c r="F76" s="23">
        <f>IF(集計表!H35="","",集計表!H35)</f>
        <v>118.63500000000001</v>
      </c>
      <c r="G76" s="23">
        <f>IF(集計表!I35="","",集計表!I35)</f>
        <v>75.269000000000005</v>
      </c>
      <c r="H76" s="23">
        <f>IF(集計表!J35="","",集計表!J35)</f>
        <v>153.14699999999999</v>
      </c>
      <c r="I76" s="23">
        <f>IF(集計表!K35="","",集計表!K35)</f>
        <v>116.79600000000001</v>
      </c>
      <c r="J76" s="23">
        <f>IF(集計表!L35="","",集計表!L35)</f>
        <v>57.56</v>
      </c>
      <c r="K76" s="23">
        <f>IF(集計表!M35="","",集計表!M35)</f>
        <v>104.69799999999999</v>
      </c>
      <c r="L76" s="23">
        <f>IF(集計表!N35="","",集計表!N35)</f>
        <v>122.13800000000001</v>
      </c>
      <c r="M76" s="23">
        <f>IF(集計表!O35="","",集計表!O35)</f>
        <v>93.71</v>
      </c>
      <c r="N76" s="23">
        <f>IF(集計表!P35="","",集計表!P35)</f>
        <v>94.632999999999996</v>
      </c>
      <c r="O76" s="23">
        <f>IF(集計表!Q35="","",集計表!Q35)</f>
        <v>78.296999999999997</v>
      </c>
      <c r="P76" s="23">
        <f>IF(集計表!R35="","",集計表!R35)</f>
        <v>71.606999999999999</v>
      </c>
      <c r="Q76" s="23">
        <f>IF(集計表!S35="","",集計表!S35)</f>
        <v>68.566000000000003</v>
      </c>
      <c r="R76" s="23">
        <f>IF(集計表!T35="","",集計表!T35)</f>
        <v>58.582000000000001</v>
      </c>
      <c r="S76" s="23">
        <f>IF(集計表!U35="","",集計表!U35)</f>
        <v>85.366</v>
      </c>
      <c r="T76" s="23">
        <f>IF(集計表!V35="","",集計表!V35)</f>
        <v>76.415000000000006</v>
      </c>
      <c r="U76" s="23">
        <f>IF(集計表!W35="","",集計表!W35)</f>
        <v>46.72</v>
      </c>
      <c r="V76" s="23">
        <f>IF(集計表!X35="","",集計表!X35)</f>
        <v>47.286999999999999</v>
      </c>
      <c r="W76" s="23">
        <f>IF(集計表!Y35="","",集計表!Y35)</f>
        <v>55.399000000000001</v>
      </c>
      <c r="X76" s="23">
        <f>IF(集計表!Z35="","",集計表!Z35)</f>
        <v>67.367000000000004</v>
      </c>
      <c r="Y76" s="23">
        <f>IF(集計表!AA35="","",集計表!AA35)</f>
        <v>33.840000000000003</v>
      </c>
      <c r="Z76" s="23">
        <f>IF(集計表!AB35="","",集計表!AB35)</f>
        <v>65.492999999999995</v>
      </c>
      <c r="AA76" s="23">
        <f>IF(集計表!AC35="","",集計表!AC35)</f>
        <v>64.337000000000003</v>
      </c>
      <c r="AB76" s="23">
        <f>IF(集計表!AD35="","",集計表!AD35)</f>
        <v>32.938000000000002</v>
      </c>
      <c r="AC76" s="23" t="str">
        <f>IF(集計表!AE35="","",集計表!AE35)</f>
        <v/>
      </c>
      <c r="AD76" s="23" t="str">
        <f>IF(集計表!AF35="","",集計表!AF35)</f>
        <v/>
      </c>
      <c r="AE76" s="23" t="str">
        <f>IF(集計表!AG35="","",集計表!AG35)</f>
        <v/>
      </c>
      <c r="AF76" s="23" t="str">
        <f>IF(集計表!AH35="","",集計表!AH35)</f>
        <v/>
      </c>
      <c r="AG76" s="23" t="str">
        <f>IF(集計表!AI35="","",集計表!AI35)</f>
        <v/>
      </c>
      <c r="AH76" s="23" t="str">
        <f>IF(集計表!AJ35="","",集計表!AJ35)</f>
        <v/>
      </c>
      <c r="AI76" s="23" t="str">
        <f>IF(集計表!AK35="","",集計表!AK35)</f>
        <v/>
      </c>
      <c r="AJ76" s="23" t="str">
        <f>IF(集計表!AL35="","",集計表!AL35)</f>
        <v/>
      </c>
      <c r="AK76" s="23" t="str">
        <f>IF(集計表!AM35="","",集計表!AM35)</f>
        <v/>
      </c>
      <c r="AL76" s="23" t="str">
        <f>IF(集計表!AN35="","",集計表!AN35)</f>
        <v/>
      </c>
      <c r="AM76" s="23" t="str">
        <f>IF(集計表!AO35="","",集計表!AO35)</f>
        <v/>
      </c>
      <c r="AN76" s="23" t="str">
        <f>IF(集計表!AP35="","",集計表!AP35)</f>
        <v/>
      </c>
      <c r="AO76" s="23" t="str">
        <f>IF(集計表!AQ35="","",集計表!AQ35)</f>
        <v/>
      </c>
      <c r="AP76" s="23" t="str">
        <f>IF(集計表!AR35="","",集計表!AR35)</f>
        <v/>
      </c>
      <c r="AQ76" s="23" t="str">
        <f>IF(集計表!AS35="","",集計表!AS35)</f>
        <v/>
      </c>
      <c r="AR76" s="23" t="str">
        <f>IF(集計表!AT35="","",集計表!AT35)</f>
        <v/>
      </c>
    </row>
    <row r="77" spans="1:44" ht="13.5" customHeight="1" x14ac:dyDescent="0.2">
      <c r="A77" s="51" t="s">
        <v>1</v>
      </c>
      <c r="B77" s="23">
        <f>IF(集計表!D36=0,NA(),集計表!D36)</f>
        <v>145</v>
      </c>
      <c r="C77" s="23">
        <f>IF(集計表!E36=0,NA(),集計表!E36)</f>
        <v>154</v>
      </c>
      <c r="D77" s="23">
        <f>IF(集計表!F36=0,NA(),集計表!F36)</f>
        <v>156</v>
      </c>
      <c r="E77" s="23">
        <f>IF(集計表!G36=0,NA(),集計表!G36)</f>
        <v>153</v>
      </c>
      <c r="F77" s="23">
        <f>IF(集計表!H36=0,NA(),集計表!H36)</f>
        <v>170</v>
      </c>
      <c r="G77" s="23">
        <f>IF(集計表!I36=0,NA(),集計表!I36)</f>
        <v>168</v>
      </c>
      <c r="H77" s="23">
        <f>IF(集計表!J36=0,NA(),集計表!J36)</f>
        <v>164</v>
      </c>
      <c r="I77" s="23">
        <f>IF(集計表!K36=0,NA(),集計表!K36)</f>
        <v>155</v>
      </c>
      <c r="J77" s="23">
        <f>IF(集計表!L36=0,NA(),集計表!L36)</f>
        <v>168</v>
      </c>
      <c r="K77" s="23">
        <f>IF(集計表!M36=0,NA(),集計表!M36)</f>
        <v>175</v>
      </c>
      <c r="L77" s="23">
        <f>IF(集計表!N36=0,NA(),集計表!N36)</f>
        <v>205</v>
      </c>
      <c r="M77" s="23">
        <f>IF(集計表!O36=0,NA(),集計表!O36)</f>
        <v>198</v>
      </c>
      <c r="N77" s="23">
        <f>IF(集計表!P36=0,NA(),集計表!P36)</f>
        <v>206</v>
      </c>
      <c r="O77" s="23">
        <f>IF(集計表!Q36=0,NA(),集計表!Q36)</f>
        <v>200</v>
      </c>
      <c r="P77" s="23">
        <f>IF(集計表!R36=0,NA(),集計表!R36)</f>
        <v>212</v>
      </c>
      <c r="Q77" s="23">
        <f>IF(集計表!S36=0,NA(),集計表!S36)</f>
        <v>207</v>
      </c>
      <c r="R77" s="23">
        <f>IF(集計表!T36=0,NA(),集計表!T36)</f>
        <v>230</v>
      </c>
      <c r="S77" s="23">
        <f>IF(集計表!U36=0,NA(),集計表!U36)</f>
        <v>232</v>
      </c>
      <c r="T77" s="23">
        <f>IF(集計表!V36=0,NA(),集計表!V36)</f>
        <v>230</v>
      </c>
      <c r="U77" s="23">
        <f>IF(集計表!W36=0,NA(),集計表!W36)</f>
        <v>239</v>
      </c>
      <c r="V77" s="23">
        <f>IF(集計表!X36=0,NA(),集計表!X36)</f>
        <v>249</v>
      </c>
      <c r="W77" s="23">
        <f>IF(集計表!Y36=0,NA(),集計表!Y36)</f>
        <v>260</v>
      </c>
      <c r="X77" s="23">
        <f>IF(集計表!Z36=0,NA(),集計表!Z36)</f>
        <v>248</v>
      </c>
      <c r="Y77" s="23">
        <f>IF(集計表!AA36=0,NA(),集計表!AA36)</f>
        <v>254</v>
      </c>
      <c r="Z77" s="23">
        <f>IF(集計表!AB36=0,NA(),集計表!AB36)</f>
        <v>256</v>
      </c>
      <c r="AA77" s="23">
        <f>IF(集計表!AC36=0,NA(),集計表!AC36)</f>
        <v>274</v>
      </c>
      <c r="AB77" s="23">
        <f>IF(集計表!AD36=0,NA(),集計表!AD36)</f>
        <v>291</v>
      </c>
      <c r="AC77" s="23" t="e">
        <f>IF(集計表!AE36=0,NA(),集計表!AE36)</f>
        <v>#N/A</v>
      </c>
      <c r="AD77" s="23" t="e">
        <f>IF(集計表!AF36=0,NA(),集計表!AF36)</f>
        <v>#N/A</v>
      </c>
      <c r="AE77" s="23" t="e">
        <f>IF(集計表!AG36=0,NA(),集計表!AG36)</f>
        <v>#N/A</v>
      </c>
      <c r="AF77" s="23" t="e">
        <f>IF(集計表!AH36=0,NA(),集計表!AH36)</f>
        <v>#N/A</v>
      </c>
      <c r="AG77" s="23" t="e">
        <f>IF(集計表!AI36=0,NA(),集計表!AI36)</f>
        <v>#N/A</v>
      </c>
      <c r="AH77" s="23" t="e">
        <f>IF(集計表!AJ36=0,NA(),集計表!AJ36)</f>
        <v>#N/A</v>
      </c>
      <c r="AI77" s="23" t="e">
        <f>IF(集計表!AK36=0,NA(),集計表!AK36)</f>
        <v>#N/A</v>
      </c>
      <c r="AJ77" s="23" t="e">
        <f>IF(集計表!AL36=0,NA(),集計表!AL36)</f>
        <v>#N/A</v>
      </c>
      <c r="AK77" s="23" t="e">
        <f>IF(集計表!AM36=0,NA(),集計表!AM36)</f>
        <v>#N/A</v>
      </c>
      <c r="AL77" s="23" t="e">
        <f>IF(集計表!AN36=0,NA(),集計表!AN36)</f>
        <v>#N/A</v>
      </c>
      <c r="AM77" s="23" t="e">
        <f>IF(集計表!AO36=0,NA(),集計表!AO36)</f>
        <v>#N/A</v>
      </c>
      <c r="AN77" s="23" t="e">
        <f>IF(集計表!AP36=0,NA(),集計表!AP36)</f>
        <v>#N/A</v>
      </c>
      <c r="AO77" s="23" t="e">
        <f>IF(集計表!AQ36=0,NA(),集計表!AQ36)</f>
        <v>#N/A</v>
      </c>
      <c r="AP77" s="23" t="e">
        <f>IF(集計表!AR36=0,NA(),集計表!AR36)</f>
        <v>#N/A</v>
      </c>
      <c r="AQ77" s="23" t="e">
        <f>IF(集計表!AS36=0,NA(),集計表!AS36)</f>
        <v>#N/A</v>
      </c>
      <c r="AR77" s="23" t="e">
        <f>IF(集計表!AT36=0,NA(),集計表!AT36)</f>
        <v>#N/A</v>
      </c>
    </row>
    <row r="78" spans="1:44" ht="13.5" customHeight="1" x14ac:dyDescent="0.2">
      <c r="A78" s="51" t="s">
        <v>2</v>
      </c>
      <c r="B78" s="23">
        <f>集計表!D37</f>
        <v>201</v>
      </c>
      <c r="C78" s="23">
        <f>集計表!E37</f>
        <v>201</v>
      </c>
      <c r="D78" s="23">
        <f>集計表!F37</f>
        <v>201</v>
      </c>
      <c r="E78" s="23">
        <f>集計表!G37</f>
        <v>201</v>
      </c>
      <c r="F78" s="23">
        <f>集計表!H37</f>
        <v>201</v>
      </c>
      <c r="G78" s="23">
        <f>集計表!I37</f>
        <v>201</v>
      </c>
      <c r="H78" s="23">
        <f>集計表!J37</f>
        <v>201</v>
      </c>
      <c r="I78" s="23">
        <f>集計表!K37</f>
        <v>178</v>
      </c>
      <c r="J78" s="23">
        <f>集計表!L37</f>
        <v>178</v>
      </c>
      <c r="K78" s="23">
        <f>集計表!M37</f>
        <v>178</v>
      </c>
      <c r="L78" s="23">
        <f>集計表!N37</f>
        <v>178</v>
      </c>
      <c r="M78" s="23">
        <f>集計表!O37</f>
        <v>178</v>
      </c>
      <c r="N78" s="23">
        <f>集計表!P37</f>
        <v>178</v>
      </c>
      <c r="O78" s="23">
        <f>集計表!Q37</f>
        <v>178</v>
      </c>
      <c r="P78" s="23">
        <f>集計表!R37</f>
        <v>178</v>
      </c>
      <c r="Q78" s="23">
        <f>集計表!S37</f>
        <v>151</v>
      </c>
      <c r="R78" s="23">
        <f>集計表!T37</f>
        <v>151</v>
      </c>
      <c r="S78" s="23">
        <f>集計表!U37</f>
        <v>151</v>
      </c>
      <c r="T78" s="23">
        <f>集計表!V37</f>
        <v>151</v>
      </c>
      <c r="U78" s="23">
        <f>集計表!W37</f>
        <v>151</v>
      </c>
      <c r="V78" s="23">
        <f>集計表!X37</f>
        <v>151</v>
      </c>
      <c r="W78" s="23">
        <f>集計表!Y37</f>
        <v>151</v>
      </c>
      <c r="X78" s="23">
        <f>集計表!Z37</f>
        <v>160</v>
      </c>
      <c r="Y78" s="23">
        <f>集計表!AA37</f>
        <v>160</v>
      </c>
      <c r="Z78" s="23">
        <f>集計表!AB37</f>
        <v>160</v>
      </c>
      <c r="AA78" s="23">
        <f>集計表!AC37</f>
        <v>160</v>
      </c>
      <c r="AB78" s="23">
        <f>集計表!AD37</f>
        <v>160</v>
      </c>
      <c r="AC78" s="23">
        <f>集計表!AE37</f>
        <v>160</v>
      </c>
      <c r="AD78" s="23">
        <f>集計表!AF37</f>
        <v>160</v>
      </c>
      <c r="AE78" s="23">
        <f>集計表!AG37</f>
        <v>176</v>
      </c>
      <c r="AF78" s="23">
        <f>集計表!AH37</f>
        <v>176</v>
      </c>
      <c r="AG78" s="23">
        <f>集計表!AI37</f>
        <v>176</v>
      </c>
      <c r="AH78" s="23">
        <f>集計表!AJ37</f>
        <v>176</v>
      </c>
      <c r="AI78" s="23">
        <f>集計表!AK37</f>
        <v>176</v>
      </c>
      <c r="AJ78" s="23">
        <f>集計表!AL37</f>
        <v>176</v>
      </c>
      <c r="AK78" s="23">
        <f>集計表!AM37</f>
        <v>193</v>
      </c>
      <c r="AL78" s="23">
        <f>集計表!AN37</f>
        <v>193</v>
      </c>
      <c r="AM78" s="23">
        <f>集計表!AO37</f>
        <v>193</v>
      </c>
      <c r="AN78" s="23">
        <f>集計表!AP37</f>
        <v>193</v>
      </c>
      <c r="AO78" s="23">
        <f>集計表!AQ37</f>
        <v>193</v>
      </c>
      <c r="AP78" s="23">
        <f>集計表!AR37</f>
        <v>193</v>
      </c>
      <c r="AQ78" s="23">
        <f>集計表!AS37</f>
        <v>193</v>
      </c>
      <c r="AR78" s="23">
        <f>集計表!AT37</f>
        <v>193</v>
      </c>
    </row>
    <row r="79" spans="1:44" ht="13.5" customHeight="1" x14ac:dyDescent="0.2">
      <c r="A79" s="52" t="s">
        <v>20</v>
      </c>
      <c r="B79" s="46">
        <f>IFERROR(B77/B78, "")</f>
        <v>0.72139303482587069</v>
      </c>
      <c r="C79" s="46">
        <f t="shared" ref="C79:AM79" si="4">IFERROR(C77/C78, "")</f>
        <v>0.76616915422885568</v>
      </c>
      <c r="D79" s="46">
        <f t="shared" si="4"/>
        <v>0.77611940298507465</v>
      </c>
      <c r="E79" s="46">
        <f t="shared" si="4"/>
        <v>0.76119402985074625</v>
      </c>
      <c r="F79" s="46">
        <f t="shared" si="4"/>
        <v>0.845771144278607</v>
      </c>
      <c r="G79" s="46">
        <f t="shared" si="4"/>
        <v>0.83582089552238803</v>
      </c>
      <c r="H79" s="46">
        <f t="shared" si="4"/>
        <v>0.8159203980099502</v>
      </c>
      <c r="I79" s="46">
        <f t="shared" si="4"/>
        <v>0.8707865168539326</v>
      </c>
      <c r="J79" s="46">
        <f t="shared" si="4"/>
        <v>0.9438202247191011</v>
      </c>
      <c r="K79" s="46">
        <f t="shared" si="4"/>
        <v>0.9831460674157303</v>
      </c>
      <c r="L79" s="46">
        <f t="shared" si="4"/>
        <v>1.151685393258427</v>
      </c>
      <c r="M79" s="46">
        <f t="shared" si="4"/>
        <v>1.1123595505617978</v>
      </c>
      <c r="N79" s="46">
        <f t="shared" si="4"/>
        <v>1.1573033707865168</v>
      </c>
      <c r="O79" s="46">
        <f t="shared" si="4"/>
        <v>1.1235955056179776</v>
      </c>
      <c r="P79" s="47">
        <f t="shared" si="4"/>
        <v>1.1910112359550562</v>
      </c>
      <c r="Q79" s="47">
        <f t="shared" si="4"/>
        <v>1.3708609271523178</v>
      </c>
      <c r="R79" s="47">
        <f t="shared" si="4"/>
        <v>1.5231788079470199</v>
      </c>
      <c r="S79" s="46">
        <f t="shared" si="4"/>
        <v>1.5364238410596027</v>
      </c>
      <c r="T79" s="46">
        <f t="shared" si="4"/>
        <v>1.5231788079470199</v>
      </c>
      <c r="U79" s="46">
        <f t="shared" si="4"/>
        <v>1.5827814569536425</v>
      </c>
      <c r="V79" s="46">
        <f t="shared" si="4"/>
        <v>1.6490066225165563</v>
      </c>
      <c r="W79" s="46">
        <f t="shared" si="4"/>
        <v>1.7218543046357615</v>
      </c>
      <c r="X79" s="46">
        <f t="shared" si="4"/>
        <v>1.55</v>
      </c>
      <c r="Y79" s="46">
        <f t="shared" si="4"/>
        <v>1.5874999999999999</v>
      </c>
      <c r="Z79" s="47">
        <f t="shared" si="4"/>
        <v>1.6</v>
      </c>
      <c r="AA79" s="46">
        <f t="shared" si="4"/>
        <v>1.7124999999999999</v>
      </c>
      <c r="AB79" s="46">
        <f t="shared" si="4"/>
        <v>1.8187500000000001</v>
      </c>
      <c r="AC79" s="46" t="str">
        <f t="shared" si="4"/>
        <v/>
      </c>
      <c r="AD79" s="46" t="str">
        <f t="shared" si="4"/>
        <v/>
      </c>
      <c r="AE79" s="46" t="str">
        <f t="shared" si="4"/>
        <v/>
      </c>
      <c r="AF79" s="46" t="str">
        <f t="shared" si="4"/>
        <v/>
      </c>
      <c r="AG79" s="46" t="str">
        <f t="shared" si="4"/>
        <v/>
      </c>
      <c r="AH79" s="46" t="str">
        <f t="shared" si="4"/>
        <v/>
      </c>
      <c r="AI79" s="46" t="str">
        <f t="shared" si="4"/>
        <v/>
      </c>
      <c r="AJ79" s="46" t="str">
        <f t="shared" si="4"/>
        <v/>
      </c>
      <c r="AK79" s="47" t="str">
        <f t="shared" si="4"/>
        <v/>
      </c>
      <c r="AL79" s="47" t="str">
        <f t="shared" si="4"/>
        <v/>
      </c>
      <c r="AM79" s="47" t="str">
        <f t="shared" si="4"/>
        <v/>
      </c>
      <c r="AN79" s="47" t="str">
        <f t="shared" ref="AN79:AO79" si="5">IFERROR(AN77/AN78, "")</f>
        <v/>
      </c>
      <c r="AO79" s="47" t="str">
        <f t="shared" si="5"/>
        <v/>
      </c>
      <c r="AP79" s="47" t="str">
        <f t="shared" ref="AP79:AQ79" si="6">IFERROR(AP77/AP78, "")</f>
        <v/>
      </c>
      <c r="AQ79" s="47" t="str">
        <f t="shared" si="6"/>
        <v/>
      </c>
      <c r="AR79" s="47" t="str">
        <f t="shared" ref="AR79" si="7">IFERROR(AR77/AR78, "")</f>
        <v/>
      </c>
    </row>
    <row r="80" spans="1:44" s="25" customFormat="1" ht="30" customHeight="1" x14ac:dyDescent="0.2">
      <c r="A80" s="25" t="s">
        <v>23</v>
      </c>
      <c r="B80" s="26"/>
      <c r="C80" s="26"/>
      <c r="D80" s="27"/>
      <c r="E80" s="26"/>
      <c r="F80" s="28"/>
      <c r="G80" s="26"/>
      <c r="H80" s="26"/>
      <c r="I80" s="26"/>
      <c r="J80" s="26"/>
      <c r="K80" s="29"/>
      <c r="L80" s="26"/>
      <c r="M80" s="29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</row>
    <row r="81" spans="1:15" ht="15.6" x14ac:dyDescent="0.2">
      <c r="A81" s="10" t="s">
        <v>11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 t="str">
        <f>TEXT(集計表!$C$1,"(e.m/d～)")</f>
        <v>(8.6/1～)</v>
      </c>
      <c r="M81" s="8"/>
      <c r="N81" s="8"/>
      <c r="O81" s="8"/>
    </row>
    <row r="82" spans="1:15" ht="15.6" x14ac:dyDescent="0.2">
      <c r="A82" s="10" t="s">
        <v>14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1:15" ht="13.5" customHeight="1" x14ac:dyDescent="0.2"/>
    <row r="84" spans="1:15" ht="13.5" customHeight="1" x14ac:dyDescent="0.2"/>
    <row r="85" spans="1:15" ht="13.5" customHeight="1" x14ac:dyDescent="0.2"/>
    <row r="86" spans="1:15" ht="13.5" customHeight="1" x14ac:dyDescent="0.2"/>
    <row r="87" spans="1:15" ht="13.5" customHeight="1" x14ac:dyDescent="0.2"/>
    <row r="88" spans="1:15" ht="13.5" customHeight="1" x14ac:dyDescent="0.2"/>
    <row r="89" spans="1:15" ht="13.5" customHeight="1" x14ac:dyDescent="0.2"/>
    <row r="90" spans="1:15" ht="13.5" customHeight="1" x14ac:dyDescent="0.2"/>
    <row r="91" spans="1:15" ht="13.5" customHeight="1" x14ac:dyDescent="0.2"/>
    <row r="92" spans="1:15" ht="13.5" customHeight="1" x14ac:dyDescent="0.2"/>
    <row r="93" spans="1:15" ht="13.5" customHeight="1" x14ac:dyDescent="0.2"/>
    <row r="94" spans="1:15" ht="13.5" customHeight="1" x14ac:dyDescent="0.2"/>
    <row r="95" spans="1:15" ht="13.5" customHeight="1" x14ac:dyDescent="0.2"/>
    <row r="96" spans="1:15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spans="1:44" ht="13.5" customHeight="1" x14ac:dyDescent="0.2"/>
    <row r="114" spans="1:44" s="31" customFormat="1" ht="16.2" customHeight="1" x14ac:dyDescent="0.2">
      <c r="B114" s="30"/>
      <c r="C114" s="30"/>
      <c r="D114" s="32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66"/>
      <c r="R114" s="32"/>
      <c r="S114" s="30"/>
      <c r="T114" s="30"/>
      <c r="U114" s="30"/>
      <c r="V114" s="30"/>
      <c r="W114" s="30"/>
      <c r="X114" s="30"/>
      <c r="Y114" s="30"/>
      <c r="Z114" s="30"/>
      <c r="AA114" s="32"/>
      <c r="AB114" s="30"/>
      <c r="AC114" s="30"/>
      <c r="AD114" s="30"/>
      <c r="AE114" s="30"/>
      <c r="AF114" s="62"/>
      <c r="AG114" s="30"/>
      <c r="AH114" s="30"/>
      <c r="AI114" s="30"/>
      <c r="AJ114" s="34"/>
      <c r="AL114" s="30"/>
      <c r="AM114" s="30"/>
      <c r="AN114" s="34"/>
      <c r="AO114" s="30"/>
      <c r="AP114" s="30"/>
      <c r="AQ114" s="30"/>
      <c r="AR114" s="30"/>
    </row>
    <row r="115" spans="1:44" ht="13.5" customHeight="1" x14ac:dyDescent="0.2">
      <c r="A115" s="48">
        <f>集計表!C39</f>
        <v>46174</v>
      </c>
      <c r="B115" s="57" t="str">
        <f>集計表!D39</f>
        <v>6/1</v>
      </c>
      <c r="C115" s="50" t="str">
        <f>集計表!E39</f>
        <v>2</v>
      </c>
      <c r="D115" s="50" t="str">
        <f>集計表!F39</f>
        <v>4</v>
      </c>
      <c r="E115" s="50" t="str">
        <f>集計表!G39</f>
        <v>5</v>
      </c>
      <c r="F115" s="50" t="str">
        <f>集計表!H39</f>
        <v>6</v>
      </c>
      <c r="G115" s="50" t="str">
        <f>集計表!I39</f>
        <v>8</v>
      </c>
      <c r="H115" s="50" t="str">
        <f>集計表!J39</f>
        <v>9</v>
      </c>
      <c r="I115" s="50" t="str">
        <f>集計表!K39</f>
        <v>11</v>
      </c>
      <c r="J115" s="50" t="str">
        <f>集計表!L39</f>
        <v>12</v>
      </c>
      <c r="K115" s="50" t="str">
        <f>集計表!M39</f>
        <v>13</v>
      </c>
      <c r="L115" s="50" t="str">
        <f>集計表!N39</f>
        <v>15</v>
      </c>
      <c r="M115" s="50" t="str">
        <f>集計表!O39</f>
        <v>16</v>
      </c>
      <c r="N115" s="50" t="str">
        <f>集計表!P39</f>
        <v>18</v>
      </c>
      <c r="O115" s="50" t="str">
        <f>集計表!Q39</f>
        <v>19</v>
      </c>
      <c r="P115" s="50" t="str">
        <f>集計表!R39</f>
        <v>20</v>
      </c>
      <c r="Q115" s="50" t="str">
        <f>集計表!S39</f>
        <v>22</v>
      </c>
      <c r="R115" s="50" t="str">
        <f>集計表!T39</f>
        <v>23</v>
      </c>
      <c r="S115" s="50" t="str">
        <f>集計表!U39</f>
        <v>25</v>
      </c>
      <c r="T115" s="50" t="str">
        <f>集計表!V39</f>
        <v>26</v>
      </c>
      <c r="U115" s="50" t="str">
        <f>集計表!W39</f>
        <v>27</v>
      </c>
      <c r="V115" s="50" t="str">
        <f>集計表!X39</f>
        <v>29</v>
      </c>
      <c r="W115" s="50" t="str">
        <f>集計表!Y39</f>
        <v>30</v>
      </c>
      <c r="X115" s="50" t="str">
        <f>集計表!Z39</f>
        <v>7/2</v>
      </c>
      <c r="Y115" s="50" t="str">
        <f>集計表!AA39</f>
        <v>3</v>
      </c>
      <c r="Z115" s="50" t="str">
        <f>集計表!AB39</f>
        <v>4</v>
      </c>
      <c r="AA115" s="50" t="str">
        <f>集計表!AC39</f>
        <v>6</v>
      </c>
      <c r="AB115" s="50" t="str">
        <f>集計表!AD39</f>
        <v>7</v>
      </c>
      <c r="AC115" s="50" t="str">
        <f>集計表!AE39</f>
        <v>9</v>
      </c>
      <c r="AD115" s="50" t="str">
        <f>集計表!AF39</f>
        <v>10</v>
      </c>
      <c r="AE115" s="50" t="str">
        <f>集計表!AG39</f>
        <v>11</v>
      </c>
      <c r="AF115" s="50" t="str">
        <f>集計表!AH39</f>
        <v>13</v>
      </c>
      <c r="AG115" s="50" t="str">
        <f>集計表!AI39</f>
        <v>14</v>
      </c>
      <c r="AH115" s="50" t="str">
        <f>集計表!AJ39</f>
        <v>16</v>
      </c>
      <c r="AI115" s="50" t="str">
        <f>集計表!AK39</f>
        <v>17</v>
      </c>
      <c r="AJ115" s="50" t="str">
        <f>集計表!AL39</f>
        <v>18</v>
      </c>
      <c r="AK115" s="50" t="str">
        <f>集計表!AM39</f>
        <v>21</v>
      </c>
      <c r="AL115" s="50" t="str">
        <f>集計表!AN39</f>
        <v>23</v>
      </c>
      <c r="AM115" s="50" t="str">
        <f>集計表!AO39</f>
        <v>24</v>
      </c>
      <c r="AN115" s="50" t="str">
        <f>集計表!AP39</f>
        <v>25</v>
      </c>
      <c r="AO115" s="50" t="str">
        <f>集計表!AQ39</f>
        <v>27</v>
      </c>
      <c r="AP115" s="50" t="str">
        <f>集計表!AR39</f>
        <v>28</v>
      </c>
      <c r="AQ115" s="50" t="str">
        <f>集計表!AS39</f>
        <v>30</v>
      </c>
      <c r="AR115" s="50" t="str">
        <f>集計表!AT39</f>
        <v>31</v>
      </c>
    </row>
    <row r="116" spans="1:44" ht="13.5" customHeight="1" x14ac:dyDescent="0.2">
      <c r="A116" s="51" t="s">
        <v>0</v>
      </c>
      <c r="B116" s="23">
        <f>IF(集計表!D41="","",集計表!D41)</f>
        <v>206.75</v>
      </c>
      <c r="C116" s="23">
        <f>IF(集計表!E41="","",集計表!E41)</f>
        <v>88.459000000000003</v>
      </c>
      <c r="D116" s="23">
        <f>IF(集計表!F41="","",集計表!F41)</f>
        <v>152.50899999999999</v>
      </c>
      <c r="E116" s="23">
        <f>IF(集計表!G41="","",集計表!G41)</f>
        <v>94.29</v>
      </c>
      <c r="F116" s="23">
        <f>IF(集計表!H41="","",集計表!H41)</f>
        <v>129.739</v>
      </c>
      <c r="G116" s="23">
        <f>IF(集計表!I41="","",集計表!I41)</f>
        <v>133.28800000000001</v>
      </c>
      <c r="H116" s="23">
        <f>IF(集計表!J41="","",集計表!J41)</f>
        <v>71.22</v>
      </c>
      <c r="I116" s="23">
        <f>IF(集計表!K41="","",集計表!K41)</f>
        <v>127.545</v>
      </c>
      <c r="J116" s="23">
        <f>IF(集計表!L41="","",集計表!L41)</f>
        <v>92.11</v>
      </c>
      <c r="K116" s="23">
        <f>IF(集計表!M41="","",集計表!M41)</f>
        <v>89.2</v>
      </c>
      <c r="L116" s="23">
        <f>IF(集計表!N41="","",集計表!N41)</f>
        <v>112.4</v>
      </c>
      <c r="M116" s="23">
        <f>IF(集計表!O41="","",集計表!O41)</f>
        <v>106.69</v>
      </c>
      <c r="N116" s="23">
        <f>IF(集計表!P41="","",集計表!P41)</f>
        <v>155.97800000000001</v>
      </c>
      <c r="O116" s="23">
        <f>IF(集計表!Q41="","",集計表!Q41)</f>
        <v>99.75</v>
      </c>
      <c r="P116" s="23">
        <f>IF(集計表!R41="","",集計表!R41)</f>
        <v>89</v>
      </c>
      <c r="Q116" s="23">
        <f>IF(集計表!S41="","",集計表!S41)</f>
        <v>96.15</v>
      </c>
      <c r="R116" s="23">
        <f>IF(集計表!T41="","",集計表!T41)</f>
        <v>65.34</v>
      </c>
      <c r="S116" s="23">
        <f>IF(集計表!U41="","",集計表!U41)</f>
        <v>68.734999999999999</v>
      </c>
      <c r="T116" s="23">
        <f>IF(集計表!V41="","",集計表!V41)</f>
        <v>61.38</v>
      </c>
      <c r="U116" s="23">
        <f>IF(集計表!W41="","",集計表!W41)</f>
        <v>57.66</v>
      </c>
      <c r="V116" s="23">
        <f>IF(集計表!X41="","",集計表!X41)</f>
        <v>91.704999999999998</v>
      </c>
      <c r="W116" s="23">
        <f>IF(集計表!Y41="","",集計表!Y41)</f>
        <v>40.83</v>
      </c>
      <c r="X116" s="23">
        <f>IF(集計表!Z41="","",集計表!Z41)</f>
        <v>64.905000000000001</v>
      </c>
      <c r="Y116" s="23">
        <f>IF(集計表!AA41="","",集計表!AA41)</f>
        <v>21.97</v>
      </c>
      <c r="Z116" s="23">
        <f>IF(集計表!AB41="","",集計表!AB41)</f>
        <v>44.95</v>
      </c>
      <c r="AA116" s="23">
        <f>IF(集計表!AC41="","",集計表!AC41)</f>
        <v>75.215000000000003</v>
      </c>
      <c r="AB116" s="23">
        <f>IF(集計表!AD41="","",集計表!AD41)</f>
        <v>39.130000000000003</v>
      </c>
      <c r="AC116" s="23" t="str">
        <f>IF(集計表!AE41="","",集計表!AE41)</f>
        <v/>
      </c>
      <c r="AD116" s="23" t="str">
        <f>IF(集計表!AF41="","",集計表!AF41)</f>
        <v/>
      </c>
      <c r="AE116" s="23" t="str">
        <f>IF(集計表!AG41="","",集計表!AG41)</f>
        <v/>
      </c>
      <c r="AF116" s="23" t="str">
        <f>IF(集計表!AH41="","",集計表!AH41)</f>
        <v/>
      </c>
      <c r="AG116" s="23" t="str">
        <f>IF(集計表!AI41="","",集計表!AI41)</f>
        <v/>
      </c>
      <c r="AH116" s="23" t="str">
        <f>IF(集計表!AJ41="","",集計表!AJ41)</f>
        <v/>
      </c>
      <c r="AI116" s="23" t="str">
        <f>IF(集計表!AK41="","",集計表!AK41)</f>
        <v/>
      </c>
      <c r="AJ116" s="23" t="str">
        <f>IF(集計表!AL41="","",集計表!AL41)</f>
        <v/>
      </c>
      <c r="AK116" s="23" t="str">
        <f>IF(集計表!AM41="","",集計表!AM41)</f>
        <v/>
      </c>
      <c r="AL116" s="23" t="str">
        <f>IF(集計表!AN41="","",集計表!AN41)</f>
        <v/>
      </c>
      <c r="AM116" s="23" t="str">
        <f>IF(集計表!AO41="","",集計表!AO41)</f>
        <v/>
      </c>
      <c r="AN116" s="23" t="str">
        <f>IF(集計表!AP41="","",集計表!AP41)</f>
        <v/>
      </c>
      <c r="AO116" s="23" t="str">
        <f>IF(集計表!AQ41="","",集計表!AQ41)</f>
        <v/>
      </c>
      <c r="AP116" s="23" t="str">
        <f>IF(集計表!AR41="","",集計表!AR41)</f>
        <v/>
      </c>
      <c r="AQ116" s="23" t="str">
        <f>IF(集計表!AS41="","",集計表!AS41)</f>
        <v/>
      </c>
      <c r="AR116" s="23" t="str">
        <f>IF(集計表!AT41="","",集計表!AT41)</f>
        <v/>
      </c>
    </row>
    <row r="117" spans="1:44" ht="13.5" customHeight="1" x14ac:dyDescent="0.2">
      <c r="A117" s="51" t="s">
        <v>1</v>
      </c>
      <c r="B117" s="23">
        <f>IF(集計表!D42=0,NA(),集計表!D42)</f>
        <v>128</v>
      </c>
      <c r="C117" s="23">
        <f>IF(集計表!E42=0,NA(),集計表!E42)</f>
        <v>132</v>
      </c>
      <c r="D117" s="23">
        <f>IF(集計表!F42=0,NA(),集計表!F42)</f>
        <v>141</v>
      </c>
      <c r="E117" s="23">
        <f>IF(集計表!G42=0,NA(),集計表!G42)</f>
        <v>137</v>
      </c>
      <c r="F117" s="23">
        <f>IF(集計表!H42=0,NA(),集計表!H42)</f>
        <v>143</v>
      </c>
      <c r="G117" s="23">
        <f>IF(集計表!I42=0,NA(),集計表!I42)</f>
        <v>149</v>
      </c>
      <c r="H117" s="23">
        <f>IF(集計表!J42=0,NA(),集計表!J42)</f>
        <v>159</v>
      </c>
      <c r="I117" s="23">
        <f>IF(集計表!K42=0,NA(),集計表!K42)</f>
        <v>163</v>
      </c>
      <c r="J117" s="23">
        <f>IF(集計表!L42=0,NA(),集計表!L42)</f>
        <v>170</v>
      </c>
      <c r="K117" s="23">
        <f>IF(集計表!M42=0,NA(),集計表!M42)</f>
        <v>181</v>
      </c>
      <c r="L117" s="23">
        <f>IF(集計表!N42=0,NA(),集計表!N42)</f>
        <v>202</v>
      </c>
      <c r="M117" s="23">
        <f>IF(集計表!O42=0,NA(),集計表!O42)</f>
        <v>215</v>
      </c>
      <c r="N117" s="23">
        <f>IF(集計表!P42=0,NA(),集計表!P42)</f>
        <v>207</v>
      </c>
      <c r="O117" s="23">
        <f>IF(集計表!Q42=0,NA(),集計表!Q42)</f>
        <v>205</v>
      </c>
      <c r="P117" s="23">
        <f>IF(集計表!R42=0,NA(),集計表!R42)</f>
        <v>213</v>
      </c>
      <c r="Q117" s="23">
        <f>IF(集計表!S42=0,NA(),集計表!S42)</f>
        <v>203</v>
      </c>
      <c r="R117" s="23">
        <f>IF(集計表!T42=0,NA(),集計表!T42)</f>
        <v>220</v>
      </c>
      <c r="S117" s="23">
        <f>IF(集計表!U42=0,NA(),集計表!U42)</f>
        <v>213</v>
      </c>
      <c r="T117" s="23">
        <f>IF(集計表!V42=0,NA(),集計表!V42)</f>
        <v>204</v>
      </c>
      <c r="U117" s="23">
        <f>IF(集計表!W42=0,NA(),集計表!W42)</f>
        <v>220</v>
      </c>
      <c r="V117" s="23">
        <f>IF(集計表!X42=0,NA(),集計表!X42)</f>
        <v>222</v>
      </c>
      <c r="W117" s="23">
        <f>IF(集計表!Y42=0,NA(),集計表!Y42)</f>
        <v>241</v>
      </c>
      <c r="X117" s="23">
        <f>IF(集計表!Z42=0,NA(),集計表!Z42)</f>
        <v>232</v>
      </c>
      <c r="Y117" s="23">
        <f>IF(集計表!AA42=0,NA(),集計表!AA42)</f>
        <v>266</v>
      </c>
      <c r="Z117" s="23">
        <f>IF(集計表!AB42=0,NA(),集計表!AB42)</f>
        <v>248</v>
      </c>
      <c r="AA117" s="23">
        <f>IF(集計表!AC42=0,NA(),集計表!AC42)</f>
        <v>283</v>
      </c>
      <c r="AB117" s="23">
        <f>IF(集計表!AD42=0,NA(),集計表!AD42)</f>
        <v>331</v>
      </c>
      <c r="AC117" s="23" t="e">
        <f>IF(集計表!AE42=0,NA(),集計表!AE42)</f>
        <v>#N/A</v>
      </c>
      <c r="AD117" s="23" t="e">
        <f>IF(集計表!AF42=0,NA(),集計表!AF42)</f>
        <v>#N/A</v>
      </c>
      <c r="AE117" s="23" t="e">
        <f>IF(集計表!AG42=0,NA(),集計表!AG42)</f>
        <v>#N/A</v>
      </c>
      <c r="AF117" s="23" t="e">
        <f>IF(集計表!AH42=0,NA(),集計表!AH42)</f>
        <v>#N/A</v>
      </c>
      <c r="AG117" s="23" t="e">
        <f>IF(集計表!AI42=0,NA(),集計表!AI42)</f>
        <v>#N/A</v>
      </c>
      <c r="AH117" s="23" t="e">
        <f>IF(集計表!AJ42=0,NA(),集計表!AJ42)</f>
        <v>#N/A</v>
      </c>
      <c r="AI117" s="23" t="e">
        <f>IF(集計表!AK42=0,NA(),集計表!AK42)</f>
        <v>#N/A</v>
      </c>
      <c r="AJ117" s="23" t="e">
        <f>IF(集計表!AL42=0,NA(),集計表!AL42)</f>
        <v>#N/A</v>
      </c>
      <c r="AK117" s="23" t="e">
        <f>IF(集計表!AM42=0,NA(),集計表!AM42)</f>
        <v>#N/A</v>
      </c>
      <c r="AL117" s="23" t="e">
        <f>IF(集計表!AN42=0,NA(),集計表!AN42)</f>
        <v>#N/A</v>
      </c>
      <c r="AM117" s="23" t="e">
        <f>IF(集計表!AO42=0,NA(),集計表!AO42)</f>
        <v>#N/A</v>
      </c>
      <c r="AN117" s="23" t="e">
        <f>IF(集計表!AP42=0,NA(),集計表!AP42)</f>
        <v>#N/A</v>
      </c>
      <c r="AO117" s="23" t="e">
        <f>IF(集計表!AQ42=0,NA(),集計表!AQ42)</f>
        <v>#N/A</v>
      </c>
      <c r="AP117" s="23" t="e">
        <f>IF(集計表!AR42=0,NA(),集計表!AR42)</f>
        <v>#N/A</v>
      </c>
      <c r="AQ117" s="23" t="e">
        <f>IF(集計表!AS42=0,NA(),集計表!AS42)</f>
        <v>#N/A</v>
      </c>
      <c r="AR117" s="23" t="e">
        <f>IF(集計表!AT42=0,NA(),集計表!AT42)</f>
        <v>#N/A</v>
      </c>
    </row>
    <row r="118" spans="1:44" ht="13.5" customHeight="1" x14ac:dyDescent="0.2">
      <c r="A118" s="51" t="s">
        <v>2</v>
      </c>
      <c r="B118" s="23">
        <f>集計表!D43</f>
        <v>167</v>
      </c>
      <c r="C118" s="23">
        <f>集計表!E43</f>
        <v>167</v>
      </c>
      <c r="D118" s="23">
        <f>集計表!F43</f>
        <v>167</v>
      </c>
      <c r="E118" s="23">
        <f>集計表!G43</f>
        <v>167</v>
      </c>
      <c r="F118" s="23">
        <f>集計表!H43</f>
        <v>167</v>
      </c>
      <c r="G118" s="23">
        <f>集計表!I43</f>
        <v>167</v>
      </c>
      <c r="H118" s="23">
        <f>集計表!J43</f>
        <v>167</v>
      </c>
      <c r="I118" s="23">
        <f>集計表!K43</f>
        <v>153</v>
      </c>
      <c r="J118" s="23">
        <f>集計表!L43</f>
        <v>153</v>
      </c>
      <c r="K118" s="23">
        <f>集計表!M43</f>
        <v>153</v>
      </c>
      <c r="L118" s="23">
        <f>集計表!N43</f>
        <v>153</v>
      </c>
      <c r="M118" s="23">
        <f>集計表!O43</f>
        <v>153</v>
      </c>
      <c r="N118" s="23">
        <f>集計表!P43</f>
        <v>153</v>
      </c>
      <c r="O118" s="23">
        <f>集計表!Q43</f>
        <v>153</v>
      </c>
      <c r="P118" s="23">
        <f>集計表!R43</f>
        <v>153</v>
      </c>
      <c r="Q118" s="23">
        <f>集計表!S43</f>
        <v>141</v>
      </c>
      <c r="R118" s="23">
        <f>集計表!T43</f>
        <v>141</v>
      </c>
      <c r="S118" s="23">
        <f>集計表!U43</f>
        <v>141</v>
      </c>
      <c r="T118" s="23">
        <f>集計表!V43</f>
        <v>141</v>
      </c>
      <c r="U118" s="23">
        <f>集計表!W43</f>
        <v>141</v>
      </c>
      <c r="V118" s="23">
        <f>集計表!X43</f>
        <v>141</v>
      </c>
      <c r="W118" s="23">
        <f>集計表!Y43</f>
        <v>141</v>
      </c>
      <c r="X118" s="23">
        <f>集計表!Z43</f>
        <v>134</v>
      </c>
      <c r="Y118" s="23">
        <f>集計表!AA43</f>
        <v>134</v>
      </c>
      <c r="Z118" s="23">
        <f>集計表!AB43</f>
        <v>134</v>
      </c>
      <c r="AA118" s="23">
        <f>集計表!AC43</f>
        <v>134</v>
      </c>
      <c r="AB118" s="23">
        <f>集計表!AD43</f>
        <v>134</v>
      </c>
      <c r="AC118" s="23">
        <f>集計表!AE43</f>
        <v>134</v>
      </c>
      <c r="AD118" s="23">
        <f>集計表!AF43</f>
        <v>134</v>
      </c>
      <c r="AE118" s="23">
        <f>集計表!AG43</f>
        <v>157</v>
      </c>
      <c r="AF118" s="23">
        <f>集計表!AH43</f>
        <v>157</v>
      </c>
      <c r="AG118" s="23">
        <f>集計表!AI43</f>
        <v>157</v>
      </c>
      <c r="AH118" s="23">
        <f>集計表!AJ43</f>
        <v>157</v>
      </c>
      <c r="AI118" s="23">
        <f>集計表!AK43</f>
        <v>157</v>
      </c>
      <c r="AJ118" s="23">
        <f>集計表!AL43</f>
        <v>157</v>
      </c>
      <c r="AK118" s="23">
        <f>集計表!AM43</f>
        <v>164</v>
      </c>
      <c r="AL118" s="23">
        <f>集計表!AN43</f>
        <v>164</v>
      </c>
      <c r="AM118" s="23">
        <f>集計表!AO43</f>
        <v>164</v>
      </c>
      <c r="AN118" s="23">
        <f>集計表!AP43</f>
        <v>164</v>
      </c>
      <c r="AO118" s="23">
        <f>集計表!AQ43</f>
        <v>164</v>
      </c>
      <c r="AP118" s="23">
        <f>集計表!AR43</f>
        <v>164</v>
      </c>
      <c r="AQ118" s="23">
        <f>集計表!AS43</f>
        <v>164</v>
      </c>
      <c r="AR118" s="23">
        <f>集計表!AT43</f>
        <v>164</v>
      </c>
    </row>
    <row r="119" spans="1:44" ht="13.5" customHeight="1" x14ac:dyDescent="0.2">
      <c r="A119" s="52" t="s">
        <v>20</v>
      </c>
      <c r="B119" s="46">
        <f>IFERROR(B117/B118, "")</f>
        <v>0.76646706586826352</v>
      </c>
      <c r="C119" s="46">
        <f t="shared" ref="C119:AM119" si="8">IFERROR(C117/C118, "")</f>
        <v>0.79041916167664672</v>
      </c>
      <c r="D119" s="46">
        <f t="shared" si="8"/>
        <v>0.84431137724550898</v>
      </c>
      <c r="E119" s="46">
        <f t="shared" si="8"/>
        <v>0.82035928143712578</v>
      </c>
      <c r="F119" s="46">
        <f t="shared" si="8"/>
        <v>0.85628742514970058</v>
      </c>
      <c r="G119" s="46">
        <f t="shared" si="8"/>
        <v>0.89221556886227549</v>
      </c>
      <c r="H119" s="46">
        <f t="shared" si="8"/>
        <v>0.95209580838323349</v>
      </c>
      <c r="I119" s="46">
        <f t="shared" si="8"/>
        <v>1.065359477124183</v>
      </c>
      <c r="J119" s="46">
        <f t="shared" si="8"/>
        <v>1.1111111111111112</v>
      </c>
      <c r="K119" s="46">
        <f t="shared" si="8"/>
        <v>1.1830065359477124</v>
      </c>
      <c r="L119" s="46">
        <f t="shared" si="8"/>
        <v>1.3202614379084967</v>
      </c>
      <c r="M119" s="46">
        <f t="shared" si="8"/>
        <v>1.4052287581699345</v>
      </c>
      <c r="N119" s="46">
        <f t="shared" si="8"/>
        <v>1.3529411764705883</v>
      </c>
      <c r="O119" s="46">
        <f t="shared" si="8"/>
        <v>1.3398692810457515</v>
      </c>
      <c r="P119" s="47">
        <f t="shared" si="8"/>
        <v>1.392156862745098</v>
      </c>
      <c r="Q119" s="47">
        <f t="shared" si="8"/>
        <v>1.4397163120567376</v>
      </c>
      <c r="R119" s="47">
        <f t="shared" si="8"/>
        <v>1.5602836879432624</v>
      </c>
      <c r="S119" s="46">
        <f t="shared" si="8"/>
        <v>1.5106382978723405</v>
      </c>
      <c r="T119" s="46">
        <f t="shared" si="8"/>
        <v>1.446808510638298</v>
      </c>
      <c r="U119" s="46">
        <f t="shared" si="8"/>
        <v>1.5602836879432624</v>
      </c>
      <c r="V119" s="46">
        <f t="shared" si="8"/>
        <v>1.574468085106383</v>
      </c>
      <c r="W119" s="46">
        <f t="shared" si="8"/>
        <v>1.7092198581560283</v>
      </c>
      <c r="X119" s="46">
        <f t="shared" si="8"/>
        <v>1.7313432835820894</v>
      </c>
      <c r="Y119" s="47">
        <f t="shared" si="8"/>
        <v>1.9850746268656716</v>
      </c>
      <c r="Z119" s="47">
        <f t="shared" si="8"/>
        <v>1.8507462686567164</v>
      </c>
      <c r="AA119" s="46">
        <f t="shared" si="8"/>
        <v>2.1119402985074629</v>
      </c>
      <c r="AB119" s="46">
        <f t="shared" si="8"/>
        <v>2.4701492537313432</v>
      </c>
      <c r="AC119" s="46" t="str">
        <f t="shared" si="8"/>
        <v/>
      </c>
      <c r="AD119" s="46" t="str">
        <f t="shared" si="8"/>
        <v/>
      </c>
      <c r="AE119" s="46" t="str">
        <f t="shared" si="8"/>
        <v/>
      </c>
      <c r="AF119" s="46" t="str">
        <f t="shared" si="8"/>
        <v/>
      </c>
      <c r="AG119" s="46" t="str">
        <f t="shared" si="8"/>
        <v/>
      </c>
      <c r="AH119" s="46" t="str">
        <f t="shared" si="8"/>
        <v/>
      </c>
      <c r="AI119" s="46" t="str">
        <f t="shared" si="8"/>
        <v/>
      </c>
      <c r="AJ119" s="46" t="str">
        <f t="shared" si="8"/>
        <v/>
      </c>
      <c r="AK119" s="47" t="str">
        <f t="shared" si="8"/>
        <v/>
      </c>
      <c r="AL119" s="47" t="str">
        <f t="shared" si="8"/>
        <v/>
      </c>
      <c r="AM119" s="47" t="str">
        <f t="shared" si="8"/>
        <v/>
      </c>
      <c r="AN119" s="47" t="str">
        <f t="shared" ref="AN119:AO119" si="9">IFERROR(AN117/AN118, "")</f>
        <v/>
      </c>
      <c r="AO119" s="47" t="str">
        <f t="shared" si="9"/>
        <v/>
      </c>
      <c r="AP119" s="47" t="str">
        <f t="shared" ref="AP119:AQ119" si="10">IFERROR(AP117/AP118, "")</f>
        <v/>
      </c>
      <c r="AQ119" s="47" t="str">
        <f t="shared" si="10"/>
        <v/>
      </c>
      <c r="AR119" s="47" t="str">
        <f t="shared" ref="AR119" si="11">IFERROR(AR117/AR118, "")</f>
        <v/>
      </c>
    </row>
    <row r="120" spans="1:44" s="25" customFormat="1" ht="30" customHeight="1" x14ac:dyDescent="0.2">
      <c r="A120" s="25" t="s">
        <v>23</v>
      </c>
      <c r="B120" s="26"/>
      <c r="C120" s="26"/>
      <c r="D120" s="27"/>
      <c r="E120" s="26"/>
      <c r="F120" s="28"/>
      <c r="G120" s="26"/>
      <c r="H120" s="26"/>
      <c r="I120" s="26"/>
      <c r="J120" s="26"/>
      <c r="K120" s="29"/>
      <c r="L120" s="26"/>
      <c r="M120" s="29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</row>
    <row r="121" spans="1:44" ht="15.6" x14ac:dyDescent="0.2">
      <c r="A121" s="10" t="s">
        <v>11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 t="str">
        <f>TEXT(集計表!$C$1,"(e.m/d～)")</f>
        <v>(8.6/1～)</v>
      </c>
      <c r="M121" s="8"/>
      <c r="N121" s="8"/>
      <c r="O121" s="8"/>
    </row>
    <row r="122" spans="1:44" ht="15.6" x14ac:dyDescent="0.2">
      <c r="A122" s="10" t="s">
        <v>15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53" spans="1:44" ht="13.5" customHeight="1" x14ac:dyDescent="0.2"/>
    <row r="154" spans="1:44" s="31" customFormat="1" ht="15.9" customHeight="1" x14ac:dyDescent="0.2">
      <c r="B154" s="30"/>
      <c r="C154" s="30"/>
      <c r="E154" s="30"/>
      <c r="F154" s="32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X154" s="30"/>
      <c r="Y154" s="30"/>
      <c r="Z154" s="30"/>
      <c r="AA154" s="32"/>
      <c r="AC154" s="30"/>
      <c r="AD154" s="30"/>
      <c r="AE154" s="30"/>
      <c r="AF154" s="30"/>
      <c r="AG154" s="30"/>
      <c r="AH154" s="30"/>
      <c r="AI154" s="30"/>
      <c r="AJ154" s="34"/>
      <c r="AK154" s="30"/>
      <c r="AN154" s="34"/>
      <c r="AO154" s="30"/>
      <c r="AP154" s="30"/>
      <c r="AR154" s="32"/>
    </row>
    <row r="155" spans="1:44" x14ac:dyDescent="0.2">
      <c r="A155" s="48">
        <f>集計表!C45</f>
        <v>46174</v>
      </c>
      <c r="B155" s="57" t="str">
        <f>集計表!D45</f>
        <v>6/1</v>
      </c>
      <c r="C155" s="59" t="str">
        <f>集計表!E45</f>
        <v>2</v>
      </c>
      <c r="D155" s="59" t="str">
        <f>集計表!F45</f>
        <v>4</v>
      </c>
      <c r="E155" s="59" t="str">
        <f>集計表!G45</f>
        <v>5</v>
      </c>
      <c r="F155" s="59" t="str">
        <f>集計表!H45</f>
        <v>6</v>
      </c>
      <c r="G155" s="59" t="str">
        <f>集計表!I45</f>
        <v>8</v>
      </c>
      <c r="H155" s="59" t="str">
        <f>集計表!J45</f>
        <v>9</v>
      </c>
      <c r="I155" s="59" t="str">
        <f>集計表!K45</f>
        <v>11</v>
      </c>
      <c r="J155" s="59" t="str">
        <f>集計表!L45</f>
        <v>12</v>
      </c>
      <c r="K155" s="59" t="str">
        <f>集計表!M45</f>
        <v>13</v>
      </c>
      <c r="L155" s="59" t="str">
        <f>集計表!N45</f>
        <v>15</v>
      </c>
      <c r="M155" s="59" t="str">
        <f>集計表!O45</f>
        <v>16</v>
      </c>
      <c r="N155" s="59" t="str">
        <f>集計表!P45</f>
        <v>18</v>
      </c>
      <c r="O155" s="59" t="str">
        <f>集計表!Q45</f>
        <v>19</v>
      </c>
      <c r="P155" s="59" t="str">
        <f>集計表!R45</f>
        <v>20</v>
      </c>
      <c r="Q155" s="59" t="str">
        <f>集計表!S45</f>
        <v>22</v>
      </c>
      <c r="R155" s="59" t="str">
        <f>集計表!T45</f>
        <v>23</v>
      </c>
      <c r="S155" s="59" t="str">
        <f>集計表!U45</f>
        <v>25</v>
      </c>
      <c r="T155" s="59" t="str">
        <f>集計表!V45</f>
        <v>26</v>
      </c>
      <c r="U155" s="59" t="str">
        <f>集計表!W45</f>
        <v>27</v>
      </c>
      <c r="V155" s="60" t="str">
        <f>集計表!X45</f>
        <v>29</v>
      </c>
      <c r="W155" s="60" t="str">
        <f>集計表!Y45</f>
        <v>30</v>
      </c>
      <c r="X155" s="61" t="str">
        <f>集計表!Z45</f>
        <v>7/2</v>
      </c>
      <c r="Y155" s="60" t="str">
        <f>集計表!AA45</f>
        <v>3</v>
      </c>
      <c r="Z155" s="60" t="str">
        <f>集計表!AB45</f>
        <v>4</v>
      </c>
      <c r="AA155" s="60" t="str">
        <f>集計表!AC45</f>
        <v>6</v>
      </c>
      <c r="AB155" s="60" t="str">
        <f>集計表!AD45</f>
        <v>7</v>
      </c>
      <c r="AC155" s="60" t="str">
        <f>集計表!AE45</f>
        <v>9</v>
      </c>
      <c r="AD155" s="60" t="str">
        <f>集計表!AF45</f>
        <v>10</v>
      </c>
      <c r="AE155" s="61" t="str">
        <f>集計表!AG45</f>
        <v>11</v>
      </c>
      <c r="AF155" s="60" t="str">
        <f>集計表!AH45</f>
        <v>13</v>
      </c>
      <c r="AG155" s="60" t="str">
        <f>集計表!AI45</f>
        <v>14</v>
      </c>
      <c r="AH155" s="60" t="str">
        <f>集計表!AJ45</f>
        <v>16</v>
      </c>
      <c r="AI155" s="60" t="str">
        <f>集計表!AK45</f>
        <v>17</v>
      </c>
      <c r="AJ155" s="60" t="str">
        <f>集計表!AL45</f>
        <v>18</v>
      </c>
      <c r="AK155" s="60" t="str">
        <f>集計表!AM45</f>
        <v>21</v>
      </c>
      <c r="AL155" s="60" t="str">
        <f>集計表!AN45</f>
        <v>23</v>
      </c>
      <c r="AM155" s="60" t="str">
        <f>集計表!AO45</f>
        <v>24</v>
      </c>
      <c r="AN155" s="60" t="str">
        <f>集計表!AP45</f>
        <v>25</v>
      </c>
      <c r="AO155" s="60" t="str">
        <f>集計表!AQ45</f>
        <v>27</v>
      </c>
      <c r="AP155" s="60" t="str">
        <f>集計表!AR45</f>
        <v>28</v>
      </c>
      <c r="AQ155" s="60" t="str">
        <f>集計表!AS45</f>
        <v>30</v>
      </c>
      <c r="AR155" s="60" t="str">
        <f>集計表!AT45</f>
        <v>31</v>
      </c>
    </row>
    <row r="156" spans="1:44" x14ac:dyDescent="0.2">
      <c r="A156" s="51" t="s">
        <v>0</v>
      </c>
      <c r="B156" s="23">
        <f>IF(集計表!D47="","",集計表!D47)</f>
        <v>177.221</v>
      </c>
      <c r="C156" s="23">
        <f>IF(集計表!E47="","",集計表!E47)</f>
        <v>99.01</v>
      </c>
      <c r="D156" s="23">
        <f>IF(集計表!F47="","",集計表!F47)</f>
        <v>129.148</v>
      </c>
      <c r="E156" s="23">
        <f>IF(集計表!G47="","",集計表!G47)</f>
        <v>107.1</v>
      </c>
      <c r="F156" s="23">
        <f>IF(集計表!H47="","",集計表!H47)</f>
        <v>98.798000000000002</v>
      </c>
      <c r="G156" s="23">
        <f>IF(集計表!I47="","",集計表!I47)</f>
        <v>155.52000000000001</v>
      </c>
      <c r="H156" s="23">
        <f>IF(集計表!J47="","",集計表!J47)</f>
        <v>79.510000000000005</v>
      </c>
      <c r="I156" s="23">
        <f>IF(集計表!K47="","",集計表!K47)</f>
        <v>147.53</v>
      </c>
      <c r="J156" s="23">
        <f>IF(集計表!L47="","",集計表!L47)</f>
        <v>121.413</v>
      </c>
      <c r="K156" s="23">
        <f>IF(集計表!M47="","",集計表!M47)</f>
        <v>85.799000000000007</v>
      </c>
      <c r="L156" s="23">
        <f>IF(集計表!N47="","",集計表!N47)</f>
        <v>78.567999999999998</v>
      </c>
      <c r="M156" s="23">
        <f>IF(集計表!O47="","",集計表!O47)</f>
        <v>74.254000000000005</v>
      </c>
      <c r="N156" s="23">
        <f>IF(集計表!P47="","",集計表!P47)</f>
        <v>103.11499999999999</v>
      </c>
      <c r="O156" s="23">
        <f>IF(集計表!Q47="","",集計表!Q47)</f>
        <v>125.64100000000001</v>
      </c>
      <c r="P156" s="23">
        <f>IF(集計表!R47="","",集計表!R47)</f>
        <v>71.53</v>
      </c>
      <c r="Q156" s="23">
        <f>IF(集計表!S47="","",集計表!S47)</f>
        <v>70.426000000000002</v>
      </c>
      <c r="R156" s="23">
        <f>IF(集計表!T47="","",集計表!T47)</f>
        <v>57.098999999999997</v>
      </c>
      <c r="S156" s="23">
        <f>IF(集計表!U47="","",集計表!U47)</f>
        <v>65.358999999999995</v>
      </c>
      <c r="T156" s="23">
        <f>IF(集計表!V47="","",集計表!V47)</f>
        <v>56.774000000000001</v>
      </c>
      <c r="U156" s="23">
        <f>IF(集計表!W47="","",集計表!W47)</f>
        <v>78.564999999999998</v>
      </c>
      <c r="V156" s="23">
        <f>IF(集計表!X47="","",集計表!X47)</f>
        <v>19.72</v>
      </c>
      <c r="W156" s="23">
        <f>IF(集計表!Y47="","",集計表!Y47)</f>
        <v>56.530999999999999</v>
      </c>
      <c r="X156" s="24">
        <f>IF(集計表!Z47="","",集計表!Z47)</f>
        <v>140.85</v>
      </c>
      <c r="Y156" s="23">
        <f>IF(集計表!AA47="","",集計表!AA47)</f>
        <v>57.502000000000002</v>
      </c>
      <c r="Z156" s="23">
        <f>IF(集計表!AB47="","",集計表!AB47)</f>
        <v>47.777000000000001</v>
      </c>
      <c r="AA156" s="23">
        <f>IF(集計表!AC47="","",集計表!AC47)</f>
        <v>12.34</v>
      </c>
      <c r="AB156" s="23">
        <f>IF(集計表!AD47="","",集計表!AD47)</f>
        <v>32.299999999999997</v>
      </c>
      <c r="AC156" s="23" t="str">
        <f>IF(集計表!AE47="","",集計表!AE47)</f>
        <v/>
      </c>
      <c r="AD156" s="23" t="str">
        <f>IF(集計表!AF47="","",集計表!AF47)</f>
        <v/>
      </c>
      <c r="AE156" s="24" t="str">
        <f>IF(集計表!AG47="","",集計表!AG47)</f>
        <v/>
      </c>
      <c r="AF156" s="23" t="str">
        <f>IF(集計表!AH47="","",集計表!AH47)</f>
        <v/>
      </c>
      <c r="AG156" s="23" t="str">
        <f>IF(集計表!AI47="","",集計表!AI47)</f>
        <v/>
      </c>
      <c r="AH156" s="23" t="str">
        <f>IF(集計表!AJ47="","",集計表!AJ47)</f>
        <v/>
      </c>
      <c r="AI156" s="23" t="str">
        <f>IF(集計表!AK47="","",集計表!AK47)</f>
        <v/>
      </c>
      <c r="AJ156" s="23" t="str">
        <f>IF(集計表!AL47="","",集計表!AL47)</f>
        <v/>
      </c>
      <c r="AK156" s="23" t="str">
        <f>IF(集計表!AM47="","",集計表!AM47)</f>
        <v/>
      </c>
      <c r="AL156" s="23" t="str">
        <f>IF(集計表!AN47="","",集計表!AN47)</f>
        <v/>
      </c>
      <c r="AM156" s="23" t="str">
        <f>IF(集計表!AO47="","",集計表!AO47)</f>
        <v/>
      </c>
      <c r="AN156" s="23" t="str">
        <f>IF(集計表!AP47="","",集計表!AP47)</f>
        <v/>
      </c>
      <c r="AO156" s="23" t="str">
        <f>IF(集計表!AQ47="","",集計表!AQ47)</f>
        <v/>
      </c>
      <c r="AP156" s="23" t="str">
        <f>IF(集計表!AR47="","",集計表!AR47)</f>
        <v/>
      </c>
      <c r="AQ156" s="23" t="str">
        <f>IF(集計表!AS47="","",集計表!AS47)</f>
        <v/>
      </c>
      <c r="AR156" s="23" t="str">
        <f>IF(集計表!AT47="","",集計表!AT47)</f>
        <v/>
      </c>
    </row>
    <row r="157" spans="1:44" x14ac:dyDescent="0.2">
      <c r="A157" s="51" t="s">
        <v>1</v>
      </c>
      <c r="B157" s="23">
        <f>IF(集計表!D48=0,NA(),集計表!D48)</f>
        <v>134</v>
      </c>
      <c r="C157" s="23">
        <f>IF(集計表!E48=0,NA(),集計表!E48)</f>
        <v>122</v>
      </c>
      <c r="D157" s="23">
        <f>IF(集計表!F48=0,NA(),集計表!F48)</f>
        <v>114</v>
      </c>
      <c r="E157" s="23">
        <f>IF(集計表!G48=0,NA(),集計表!G48)</f>
        <v>126</v>
      </c>
      <c r="F157" s="23">
        <f>IF(集計表!H48=0,NA(),集計表!H48)</f>
        <v>134</v>
      </c>
      <c r="G157" s="23">
        <f>IF(集計表!I48=0,NA(),集計表!I48)</f>
        <v>136</v>
      </c>
      <c r="H157" s="23">
        <f>IF(集計表!J48=0,NA(),集計表!J48)</f>
        <v>145</v>
      </c>
      <c r="I157" s="23">
        <f>IF(集計表!K48=0,NA(),集計表!K48)</f>
        <v>147</v>
      </c>
      <c r="J157" s="23">
        <f>IF(集計表!L48=0,NA(),集計表!L48)</f>
        <v>122</v>
      </c>
      <c r="K157" s="23">
        <f>IF(集計表!M48=0,NA(),集計表!M48)</f>
        <v>171</v>
      </c>
      <c r="L157" s="23">
        <f>IF(集計表!N48=0,NA(),集計表!N48)</f>
        <v>184</v>
      </c>
      <c r="M157" s="23">
        <f>IF(集計表!O48=0,NA(),集計表!O48)</f>
        <v>192</v>
      </c>
      <c r="N157" s="23">
        <f>IF(集計表!P48=0,NA(),集計表!P48)</f>
        <v>189</v>
      </c>
      <c r="O157" s="23">
        <f>IF(集計表!Q48=0,NA(),集計表!Q48)</f>
        <v>161</v>
      </c>
      <c r="P157" s="23">
        <f>IF(集計表!R48=0,NA(),集計表!R48)</f>
        <v>206</v>
      </c>
      <c r="Q157" s="23">
        <f>IF(集計表!S48=0,NA(),集計表!S48)</f>
        <v>180</v>
      </c>
      <c r="R157" s="23">
        <f>IF(集計表!T48=0,NA(),集計表!T48)</f>
        <v>208</v>
      </c>
      <c r="S157" s="23">
        <f>IF(集計表!U48=0,NA(),集計表!U48)</f>
        <v>195</v>
      </c>
      <c r="T157" s="23">
        <f>IF(集計表!V48=0,NA(),集計表!V48)</f>
        <v>225</v>
      </c>
      <c r="U157" s="23">
        <f>IF(集計表!W48=0,NA(),集計表!W48)</f>
        <v>199</v>
      </c>
      <c r="V157" s="23">
        <f>IF(集計表!X48=0,NA(),集計表!X48)</f>
        <v>254</v>
      </c>
      <c r="W157" s="23">
        <f>IF(集計表!Y48=0,NA(),集計表!Y48)</f>
        <v>178</v>
      </c>
      <c r="X157" s="24">
        <f>IF(集計表!Z48=0,NA(),集計表!Z48)</f>
        <v>170</v>
      </c>
      <c r="Y157" s="23">
        <f>IF(集計表!AA48=0,NA(),集計表!AA48)</f>
        <v>237</v>
      </c>
      <c r="Z157" s="23">
        <f>IF(集計表!AB48=0,NA(),集計表!AB48)</f>
        <v>252</v>
      </c>
      <c r="AA157" s="23">
        <f>IF(集計表!AC48=0,NA(),集計表!AC48)</f>
        <v>288</v>
      </c>
      <c r="AB157" s="23">
        <f>IF(集計表!AD48=0,NA(),集計表!AD48)</f>
        <v>252</v>
      </c>
      <c r="AC157" s="23" t="e">
        <f>IF(集計表!AE48=0,NA(),集計表!AE48)</f>
        <v>#N/A</v>
      </c>
      <c r="AD157" s="23" t="e">
        <f>IF(集計表!AF48=0,NA(),集計表!AF48)</f>
        <v>#N/A</v>
      </c>
      <c r="AE157" s="24" t="e">
        <f>IF(集計表!AG48=0,NA(),集計表!AG48)</f>
        <v>#N/A</v>
      </c>
      <c r="AF157" s="23" t="e">
        <f>IF(集計表!AH48=0,NA(),集計表!AH48)</f>
        <v>#N/A</v>
      </c>
      <c r="AG157" s="23" t="e">
        <f>IF(集計表!AI48=0,NA(),集計表!AI48)</f>
        <v>#N/A</v>
      </c>
      <c r="AH157" s="23" t="e">
        <f>IF(集計表!AJ48=0,NA(),集計表!AJ48)</f>
        <v>#N/A</v>
      </c>
      <c r="AI157" s="23" t="e">
        <f>IF(集計表!AK48=0,NA(),集計表!AK48)</f>
        <v>#N/A</v>
      </c>
      <c r="AJ157" s="23" t="e">
        <f>IF(集計表!AL48=0,NA(),集計表!AL48)</f>
        <v>#N/A</v>
      </c>
      <c r="AK157" s="23" t="e">
        <f>IF(集計表!AM48=0,NA(),集計表!AM48)</f>
        <v>#N/A</v>
      </c>
      <c r="AL157" s="23" t="e">
        <f>IF(集計表!AN48=0,NA(),集計表!AN48)</f>
        <v>#N/A</v>
      </c>
      <c r="AM157" s="23" t="e">
        <f>IF(集計表!AO48=0,NA(),集計表!AO48)</f>
        <v>#N/A</v>
      </c>
      <c r="AN157" s="23" t="e">
        <f>IF(集計表!AP48=0,NA(),集計表!AP48)</f>
        <v>#N/A</v>
      </c>
      <c r="AO157" s="23" t="e">
        <f>IF(集計表!AQ48=0,NA(),集計表!AQ48)</f>
        <v>#N/A</v>
      </c>
      <c r="AP157" s="23" t="e">
        <f>IF(集計表!AR48=0,NA(),集計表!AR48)</f>
        <v>#N/A</v>
      </c>
      <c r="AQ157" s="23" t="e">
        <f>IF(集計表!AS48=0,NA(),集計表!AS48)</f>
        <v>#N/A</v>
      </c>
      <c r="AR157" s="23" t="e">
        <f>IF(集計表!AT48=0,NA(),集計表!AT48)</f>
        <v>#N/A</v>
      </c>
    </row>
    <row r="158" spans="1:44" x14ac:dyDescent="0.2">
      <c r="A158" s="51" t="s">
        <v>2</v>
      </c>
      <c r="B158" s="23">
        <f>集計表!D49</f>
        <v>191</v>
      </c>
      <c r="C158" s="23">
        <f>集計表!E49</f>
        <v>191</v>
      </c>
      <c r="D158" s="23">
        <f>集計表!F49</f>
        <v>191</v>
      </c>
      <c r="E158" s="23">
        <f>集計表!G49</f>
        <v>191</v>
      </c>
      <c r="F158" s="23">
        <f>集計表!H49</f>
        <v>191</v>
      </c>
      <c r="G158" s="23">
        <f>集計表!I49</f>
        <v>191</v>
      </c>
      <c r="H158" s="23">
        <f>集計表!J49</f>
        <v>191</v>
      </c>
      <c r="I158" s="23">
        <f>集計表!K49</f>
        <v>175</v>
      </c>
      <c r="J158" s="23">
        <f>集計表!L49</f>
        <v>175</v>
      </c>
      <c r="K158" s="23">
        <f>集計表!M49</f>
        <v>175</v>
      </c>
      <c r="L158" s="23">
        <f>集計表!N49</f>
        <v>175</v>
      </c>
      <c r="M158" s="23">
        <f>集計表!O49</f>
        <v>175</v>
      </c>
      <c r="N158" s="23">
        <f>集計表!P49</f>
        <v>175</v>
      </c>
      <c r="O158" s="23">
        <f>集計表!Q49</f>
        <v>175</v>
      </c>
      <c r="P158" s="23">
        <f>集計表!R49</f>
        <v>175</v>
      </c>
      <c r="Q158" s="23">
        <f>集計表!S49</f>
        <v>166</v>
      </c>
      <c r="R158" s="23">
        <f>集計表!T49</f>
        <v>166</v>
      </c>
      <c r="S158" s="23">
        <f>集計表!U49</f>
        <v>166</v>
      </c>
      <c r="T158" s="23">
        <f>集計表!V49</f>
        <v>166</v>
      </c>
      <c r="U158" s="23">
        <f>集計表!W49</f>
        <v>166</v>
      </c>
      <c r="V158" s="23">
        <f>集計表!X49</f>
        <v>166</v>
      </c>
      <c r="W158" s="23">
        <f>集計表!Y49</f>
        <v>166</v>
      </c>
      <c r="X158" s="24">
        <f>集計表!Z49</f>
        <v>152</v>
      </c>
      <c r="Y158" s="23">
        <f>集計表!AA49</f>
        <v>152</v>
      </c>
      <c r="Z158" s="23">
        <f>集計表!AB49</f>
        <v>152</v>
      </c>
      <c r="AA158" s="23">
        <f>集計表!AC49</f>
        <v>152</v>
      </c>
      <c r="AB158" s="23">
        <f>集計表!AD49</f>
        <v>152</v>
      </c>
      <c r="AC158" s="23">
        <f>集計表!AE49</f>
        <v>152</v>
      </c>
      <c r="AD158" s="23">
        <f>集計表!AF49</f>
        <v>152</v>
      </c>
      <c r="AE158" s="24">
        <f>集計表!AG49</f>
        <v>157</v>
      </c>
      <c r="AF158" s="23">
        <f>集計表!AH49</f>
        <v>157</v>
      </c>
      <c r="AG158" s="23">
        <f>集計表!AI49</f>
        <v>157</v>
      </c>
      <c r="AH158" s="23">
        <f>集計表!AJ49</f>
        <v>157</v>
      </c>
      <c r="AI158" s="23">
        <f>集計表!AK49</f>
        <v>157</v>
      </c>
      <c r="AJ158" s="23">
        <f>集計表!AL49</f>
        <v>157</v>
      </c>
      <c r="AK158" s="23">
        <f>集計表!AM49</f>
        <v>174</v>
      </c>
      <c r="AL158" s="23">
        <f>集計表!AN49</f>
        <v>174</v>
      </c>
      <c r="AM158" s="23">
        <f>集計表!AO49</f>
        <v>174</v>
      </c>
      <c r="AN158" s="23">
        <f>集計表!AP49</f>
        <v>174</v>
      </c>
      <c r="AO158" s="23">
        <f>集計表!AQ49</f>
        <v>174</v>
      </c>
      <c r="AP158" s="23">
        <f>集計表!AR49</f>
        <v>174</v>
      </c>
      <c r="AQ158" s="23">
        <f>集計表!AS49</f>
        <v>174</v>
      </c>
      <c r="AR158" s="23">
        <f>集計表!AT49</f>
        <v>174</v>
      </c>
    </row>
    <row r="159" spans="1:44" s="33" customFormat="1" ht="13.5" customHeight="1" x14ac:dyDescent="0.2">
      <c r="A159" s="52" t="s">
        <v>20</v>
      </c>
      <c r="B159" s="47">
        <f>IFERROR(B157/B158, "")</f>
        <v>0.70157068062827221</v>
      </c>
      <c r="C159" s="47">
        <f t="shared" ref="C159:AM159" si="12">IFERROR(C157/C158, "")</f>
        <v>0.63874345549738221</v>
      </c>
      <c r="D159" s="47">
        <f t="shared" si="12"/>
        <v>0.59685863874345546</v>
      </c>
      <c r="E159" s="47">
        <f t="shared" si="12"/>
        <v>0.65968586387434558</v>
      </c>
      <c r="F159" s="47">
        <f t="shared" si="12"/>
        <v>0.70157068062827221</v>
      </c>
      <c r="G159" s="47">
        <f t="shared" si="12"/>
        <v>0.7120418848167539</v>
      </c>
      <c r="H159" s="47">
        <f t="shared" si="12"/>
        <v>0.75916230366492143</v>
      </c>
      <c r="I159" s="47">
        <f t="shared" si="12"/>
        <v>0.84</v>
      </c>
      <c r="J159" s="47">
        <f t="shared" si="12"/>
        <v>0.69714285714285718</v>
      </c>
      <c r="K159" s="47">
        <f t="shared" si="12"/>
        <v>0.97714285714285709</v>
      </c>
      <c r="L159" s="47">
        <f t="shared" si="12"/>
        <v>1.0514285714285714</v>
      </c>
      <c r="M159" s="47">
        <f t="shared" si="12"/>
        <v>1.0971428571428572</v>
      </c>
      <c r="N159" s="47">
        <f t="shared" si="12"/>
        <v>1.08</v>
      </c>
      <c r="O159" s="47">
        <f t="shared" si="12"/>
        <v>0.92</v>
      </c>
      <c r="P159" s="47">
        <f t="shared" si="12"/>
        <v>1.177142857142857</v>
      </c>
      <c r="Q159" s="47">
        <f t="shared" si="12"/>
        <v>1.0843373493975903</v>
      </c>
      <c r="R159" s="47">
        <f t="shared" si="12"/>
        <v>1.2530120481927711</v>
      </c>
      <c r="S159" s="47">
        <f t="shared" si="12"/>
        <v>1.1746987951807228</v>
      </c>
      <c r="T159" s="47">
        <f t="shared" si="12"/>
        <v>1.3554216867469879</v>
      </c>
      <c r="U159" s="47">
        <f t="shared" si="12"/>
        <v>1.1987951807228916</v>
      </c>
      <c r="V159" s="47">
        <f t="shared" si="12"/>
        <v>1.5301204819277108</v>
      </c>
      <c r="W159" s="47">
        <f t="shared" si="12"/>
        <v>1.072289156626506</v>
      </c>
      <c r="X159" s="47">
        <f t="shared" si="12"/>
        <v>1.118421052631579</v>
      </c>
      <c r="Y159" s="47">
        <f t="shared" si="12"/>
        <v>1.5592105263157894</v>
      </c>
      <c r="Z159" s="47">
        <f t="shared" si="12"/>
        <v>1.6578947368421053</v>
      </c>
      <c r="AA159" s="47">
        <f t="shared" si="12"/>
        <v>1.8947368421052631</v>
      </c>
      <c r="AB159" s="47">
        <f t="shared" si="12"/>
        <v>1.6578947368421053</v>
      </c>
      <c r="AC159" s="47" t="str">
        <f t="shared" si="12"/>
        <v/>
      </c>
      <c r="AD159" s="47" t="str">
        <f t="shared" si="12"/>
        <v/>
      </c>
      <c r="AE159" s="47" t="str">
        <f t="shared" si="12"/>
        <v/>
      </c>
      <c r="AF159" s="47" t="str">
        <f t="shared" si="12"/>
        <v/>
      </c>
      <c r="AG159" s="47" t="str">
        <f t="shared" si="12"/>
        <v/>
      </c>
      <c r="AH159" s="47" t="str">
        <f t="shared" si="12"/>
        <v/>
      </c>
      <c r="AI159" s="47" t="str">
        <f t="shared" si="12"/>
        <v/>
      </c>
      <c r="AJ159" s="47" t="str">
        <f t="shared" si="12"/>
        <v/>
      </c>
      <c r="AK159" s="47" t="str">
        <f t="shared" si="12"/>
        <v/>
      </c>
      <c r="AL159" s="47" t="str">
        <f t="shared" si="12"/>
        <v/>
      </c>
      <c r="AM159" s="47" t="str">
        <f t="shared" si="12"/>
        <v/>
      </c>
      <c r="AN159" s="47" t="str">
        <f t="shared" ref="AN159:AO159" si="13">IFERROR(AN157/AN158, "")</f>
        <v/>
      </c>
      <c r="AO159" s="47" t="str">
        <f t="shared" si="13"/>
        <v/>
      </c>
      <c r="AP159" s="47" t="str">
        <f t="shared" ref="AP159:AQ159" si="14">IFERROR(AP157/AP158, "")</f>
        <v/>
      </c>
      <c r="AQ159" s="47" t="str">
        <f t="shared" si="14"/>
        <v/>
      </c>
      <c r="AR159" s="47" t="str">
        <f t="shared" ref="AR159" si="15">IFERROR(AR157/AR158, "")</f>
        <v/>
      </c>
    </row>
    <row r="160" spans="1:44" s="25" customFormat="1" ht="22.5" customHeight="1" x14ac:dyDescent="0.2">
      <c r="A160" s="25" t="s">
        <v>23</v>
      </c>
      <c r="B160" s="26"/>
      <c r="C160" s="26"/>
      <c r="D160" s="27"/>
      <c r="E160" s="26"/>
      <c r="F160" s="28"/>
      <c r="G160" s="26"/>
      <c r="H160" s="26"/>
      <c r="I160" s="26"/>
      <c r="J160" s="26"/>
      <c r="K160" s="29"/>
      <c r="L160" s="26"/>
      <c r="M160" s="29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</row>
  </sheetData>
  <phoneticPr fontId="4"/>
  <conditionalFormatting sqref="B156">
    <cfRule type="expression" dxfId="1" priority="53" stopIfTrue="1">
      <formula>ISERROR(B156)</formula>
    </cfRule>
  </conditionalFormatting>
  <conditionalFormatting sqref="B37:AR37 B77:AR77 B116 B117:AR117 B157:AR157">
    <cfRule type="expression" dxfId="0" priority="58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  <rowBreaks count="3" manualBreakCount="3">
    <brk id="40" max="16383" man="1"/>
    <brk id="80" max="16383" man="1"/>
    <brk id="12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W52"/>
  <sheetViews>
    <sheetView showGridLines="0" zoomScaleNormal="100" workbookViewId="0">
      <pane xSplit="3" topLeftCell="AB1" activePane="topRight" state="frozen"/>
      <selection pane="topRight"/>
    </sheetView>
  </sheetViews>
  <sheetFormatPr defaultColWidth="8.88671875" defaultRowHeight="13.2" x14ac:dyDescent="0.2"/>
  <cols>
    <col min="3" max="3" width="14.21875" bestFit="1" customWidth="1"/>
    <col min="4" max="6" width="9" customWidth="1"/>
    <col min="7" max="22" width="9" style="12" customWidth="1"/>
    <col min="23" max="24" width="9" style="43" customWidth="1"/>
    <col min="25" max="25" width="9" style="42" customWidth="1"/>
    <col min="26" max="26" width="8.88671875" style="42"/>
    <col min="27" max="46" width="9" style="43" customWidth="1"/>
    <col min="47" max="49" width="8.88671875" style="42"/>
  </cols>
  <sheetData>
    <row r="1" spans="1:49" x14ac:dyDescent="0.2">
      <c r="A1" s="4" t="s">
        <v>8</v>
      </c>
      <c r="B1" t="s">
        <v>7</v>
      </c>
      <c r="C1" s="17">
        <v>46174</v>
      </c>
      <c r="D1" s="93" t="s">
        <v>46</v>
      </c>
      <c r="E1" s="84" t="s">
        <v>41</v>
      </c>
      <c r="F1" s="84" t="s">
        <v>37</v>
      </c>
      <c r="G1" s="84" t="s">
        <v>47</v>
      </c>
      <c r="H1" s="85" t="s">
        <v>27</v>
      </c>
      <c r="I1" s="84" t="s">
        <v>42</v>
      </c>
      <c r="J1" s="84" t="s">
        <v>24</v>
      </c>
      <c r="K1" s="84" t="s">
        <v>38</v>
      </c>
      <c r="L1" s="84" t="s">
        <v>31</v>
      </c>
      <c r="M1" s="84" t="s">
        <v>28</v>
      </c>
      <c r="N1" s="84" t="s">
        <v>43</v>
      </c>
      <c r="O1" s="84" t="s">
        <v>25</v>
      </c>
      <c r="P1" s="84" t="s">
        <v>39</v>
      </c>
      <c r="Q1" s="84" t="s">
        <v>32</v>
      </c>
      <c r="R1" s="84" t="s">
        <v>29</v>
      </c>
      <c r="S1" s="84" t="s">
        <v>44</v>
      </c>
      <c r="T1" s="84" t="s">
        <v>26</v>
      </c>
      <c r="U1" s="84" t="s">
        <v>40</v>
      </c>
      <c r="V1" s="84" t="s">
        <v>21</v>
      </c>
      <c r="W1" s="84" t="s">
        <v>30</v>
      </c>
      <c r="X1" s="84" t="s">
        <v>45</v>
      </c>
      <c r="Y1" s="84" t="s">
        <v>33</v>
      </c>
      <c r="Z1" s="84" t="s">
        <v>48</v>
      </c>
      <c r="AA1" s="86" t="s">
        <v>49</v>
      </c>
      <c r="AB1" s="86" t="s">
        <v>37</v>
      </c>
      <c r="AC1" s="86" t="s">
        <v>27</v>
      </c>
      <c r="AD1" s="86" t="s">
        <v>34</v>
      </c>
      <c r="AE1" s="87" t="s">
        <v>24</v>
      </c>
      <c r="AF1" s="87" t="s">
        <v>50</v>
      </c>
      <c r="AG1" s="87" t="s">
        <v>38</v>
      </c>
      <c r="AH1" s="87" t="s">
        <v>28</v>
      </c>
      <c r="AI1" s="87" t="s">
        <v>35</v>
      </c>
      <c r="AJ1" s="87" t="s">
        <v>25</v>
      </c>
      <c r="AK1" s="87" t="s">
        <v>51</v>
      </c>
      <c r="AL1" s="87" t="s">
        <v>39</v>
      </c>
      <c r="AM1" s="87" t="s">
        <v>36</v>
      </c>
      <c r="AN1" s="88" t="s">
        <v>26</v>
      </c>
      <c r="AO1" s="84" t="s">
        <v>52</v>
      </c>
      <c r="AP1" s="84" t="s">
        <v>40</v>
      </c>
      <c r="AQ1" s="84" t="s">
        <v>30</v>
      </c>
      <c r="AR1" s="84" t="s">
        <v>22</v>
      </c>
      <c r="AS1" s="84" t="s">
        <v>33</v>
      </c>
      <c r="AT1" s="84" t="s">
        <v>53</v>
      </c>
      <c r="AU1" s="35"/>
      <c r="AV1" s="36"/>
      <c r="AW1" s="37"/>
    </row>
    <row r="2" spans="1:49" x14ac:dyDescent="0.2">
      <c r="C2" s="18" t="s">
        <v>18</v>
      </c>
      <c r="D2" s="94">
        <v>4293</v>
      </c>
      <c r="E2" s="89">
        <v>4251</v>
      </c>
      <c r="F2" s="89">
        <v>3428</v>
      </c>
      <c r="G2" s="89">
        <v>2711</v>
      </c>
      <c r="H2" s="89">
        <v>2587</v>
      </c>
      <c r="I2" s="89">
        <v>6122</v>
      </c>
      <c r="J2" s="89">
        <v>3671</v>
      </c>
      <c r="K2" s="89">
        <v>5595</v>
      </c>
      <c r="L2" s="89">
        <v>2346</v>
      </c>
      <c r="M2" s="89">
        <v>3729</v>
      </c>
      <c r="N2" s="89">
        <v>3868</v>
      </c>
      <c r="O2" s="89">
        <v>3068</v>
      </c>
      <c r="P2" s="89">
        <v>2991</v>
      </c>
      <c r="Q2" s="89">
        <v>2420</v>
      </c>
      <c r="R2" s="89">
        <v>2419</v>
      </c>
      <c r="S2" s="89">
        <v>1705</v>
      </c>
      <c r="T2" s="89">
        <v>2561</v>
      </c>
      <c r="U2" s="89">
        <v>3667</v>
      </c>
      <c r="V2" s="89">
        <v>2859</v>
      </c>
      <c r="W2" s="89">
        <v>3093</v>
      </c>
      <c r="X2" s="89">
        <v>2573</v>
      </c>
      <c r="Y2" s="89">
        <v>1592</v>
      </c>
      <c r="Z2" s="89">
        <v>3758</v>
      </c>
      <c r="AA2" s="89">
        <v>2749</v>
      </c>
      <c r="AB2" s="89">
        <v>2690</v>
      </c>
      <c r="AC2" s="89">
        <v>3852</v>
      </c>
      <c r="AD2" s="89">
        <v>3165</v>
      </c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38"/>
      <c r="AV2" s="38"/>
      <c r="AW2" s="39"/>
    </row>
    <row r="3" spans="1:49" x14ac:dyDescent="0.2">
      <c r="C3" s="18" t="s">
        <v>3</v>
      </c>
      <c r="D3" s="95">
        <v>4.2930000000000001</v>
      </c>
      <c r="E3" s="90">
        <v>4.2510000000000003</v>
      </c>
      <c r="F3" s="90">
        <v>3.4279999999999999</v>
      </c>
      <c r="G3" s="90">
        <v>2.7109999999999999</v>
      </c>
      <c r="H3" s="90">
        <v>2.5870000000000002</v>
      </c>
      <c r="I3" s="90">
        <v>6.1219999999999999</v>
      </c>
      <c r="J3" s="90">
        <v>3.6709999999999998</v>
      </c>
      <c r="K3" s="90">
        <v>5.5949999999999998</v>
      </c>
      <c r="L3" s="90">
        <v>2.3460000000000001</v>
      </c>
      <c r="M3" s="90">
        <v>3.7290000000000001</v>
      </c>
      <c r="N3" s="90">
        <v>3.8679999999999999</v>
      </c>
      <c r="O3" s="90">
        <v>3.0680000000000001</v>
      </c>
      <c r="P3" s="90">
        <v>2.9910000000000001</v>
      </c>
      <c r="Q3" s="90">
        <v>2.42</v>
      </c>
      <c r="R3" s="90">
        <v>2.419</v>
      </c>
      <c r="S3" s="90">
        <v>1.7050000000000001</v>
      </c>
      <c r="T3" s="90">
        <v>2.5609999999999999</v>
      </c>
      <c r="U3" s="90">
        <v>3.6669999999999998</v>
      </c>
      <c r="V3" s="90">
        <v>2.859</v>
      </c>
      <c r="W3" s="90">
        <v>3.093</v>
      </c>
      <c r="X3" s="90">
        <v>2.573</v>
      </c>
      <c r="Y3" s="90">
        <v>1.5920000000000001</v>
      </c>
      <c r="Z3" s="90">
        <v>3.758</v>
      </c>
      <c r="AA3" s="90">
        <v>2.7490000000000001</v>
      </c>
      <c r="AB3" s="90">
        <v>2.69</v>
      </c>
      <c r="AC3" s="90">
        <v>3.8519999999999999</v>
      </c>
      <c r="AD3" s="90">
        <v>3.165</v>
      </c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38"/>
      <c r="AV3" s="38"/>
      <c r="AW3" s="39"/>
    </row>
    <row r="4" spans="1:49" x14ac:dyDescent="0.2">
      <c r="C4" s="19" t="s">
        <v>19</v>
      </c>
      <c r="D4" s="96">
        <v>497</v>
      </c>
      <c r="E4" s="92">
        <v>534</v>
      </c>
      <c r="F4" s="92">
        <v>525</v>
      </c>
      <c r="G4" s="92">
        <v>450</v>
      </c>
      <c r="H4" s="92">
        <v>506</v>
      </c>
      <c r="I4" s="92">
        <v>554</v>
      </c>
      <c r="J4" s="92">
        <v>560</v>
      </c>
      <c r="K4" s="92">
        <v>544</v>
      </c>
      <c r="L4" s="92">
        <v>548</v>
      </c>
      <c r="M4" s="92">
        <v>598</v>
      </c>
      <c r="N4" s="92">
        <v>611</v>
      </c>
      <c r="O4" s="92">
        <v>539</v>
      </c>
      <c r="P4" s="92">
        <v>528</v>
      </c>
      <c r="Q4" s="92">
        <v>526</v>
      </c>
      <c r="R4" s="92">
        <v>643</v>
      </c>
      <c r="S4" s="92">
        <v>636</v>
      </c>
      <c r="T4" s="92">
        <v>545</v>
      </c>
      <c r="U4" s="92">
        <v>656</v>
      </c>
      <c r="V4" s="92">
        <v>667</v>
      </c>
      <c r="W4" s="92">
        <v>670</v>
      </c>
      <c r="X4" s="92">
        <v>659</v>
      </c>
      <c r="Y4" s="92">
        <v>657</v>
      </c>
      <c r="Z4" s="92">
        <v>698</v>
      </c>
      <c r="AA4" s="92">
        <v>718</v>
      </c>
      <c r="AB4" s="92">
        <v>694</v>
      </c>
      <c r="AC4" s="92">
        <v>673</v>
      </c>
      <c r="AD4" s="92">
        <v>578</v>
      </c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38"/>
      <c r="AV4" s="38"/>
      <c r="AW4" s="39"/>
    </row>
    <row r="5" spans="1:49" ht="13.8" thickBot="1" x14ac:dyDescent="0.25">
      <c r="C5" s="20" t="s">
        <v>17</v>
      </c>
      <c r="D5" s="97">
        <v>571</v>
      </c>
      <c r="E5" s="97">
        <v>571</v>
      </c>
      <c r="F5" s="97">
        <v>571</v>
      </c>
      <c r="G5" s="97">
        <v>571</v>
      </c>
      <c r="H5" s="97">
        <v>571</v>
      </c>
      <c r="I5" s="97">
        <v>571</v>
      </c>
      <c r="J5" s="97">
        <v>571</v>
      </c>
      <c r="K5" s="97">
        <v>621</v>
      </c>
      <c r="L5" s="97">
        <v>621</v>
      </c>
      <c r="M5" s="97">
        <v>621</v>
      </c>
      <c r="N5" s="97">
        <v>621</v>
      </c>
      <c r="O5" s="97">
        <v>621</v>
      </c>
      <c r="P5" s="97">
        <v>621</v>
      </c>
      <c r="Q5" s="97">
        <v>621</v>
      </c>
      <c r="R5" s="97">
        <v>621</v>
      </c>
      <c r="S5" s="97">
        <v>556</v>
      </c>
      <c r="T5" s="97">
        <v>556</v>
      </c>
      <c r="U5" s="97">
        <v>556</v>
      </c>
      <c r="V5" s="97">
        <v>556</v>
      </c>
      <c r="W5" s="97">
        <v>556</v>
      </c>
      <c r="X5" s="97">
        <v>556</v>
      </c>
      <c r="Y5" s="97">
        <v>556</v>
      </c>
      <c r="Z5" s="97">
        <v>513</v>
      </c>
      <c r="AA5" s="97">
        <v>513</v>
      </c>
      <c r="AB5" s="97">
        <v>513</v>
      </c>
      <c r="AC5" s="97">
        <v>513</v>
      </c>
      <c r="AD5" s="97">
        <v>513</v>
      </c>
      <c r="AE5" s="97">
        <v>513</v>
      </c>
      <c r="AF5" s="97">
        <v>513</v>
      </c>
      <c r="AG5" s="97">
        <v>420</v>
      </c>
      <c r="AH5" s="97">
        <v>420</v>
      </c>
      <c r="AI5" s="97">
        <v>420</v>
      </c>
      <c r="AJ5" s="97">
        <v>420</v>
      </c>
      <c r="AK5" s="97">
        <v>420</v>
      </c>
      <c r="AL5" s="97">
        <v>420</v>
      </c>
      <c r="AM5" s="97">
        <v>441</v>
      </c>
      <c r="AN5" s="97">
        <v>441</v>
      </c>
      <c r="AO5" s="97">
        <v>441</v>
      </c>
      <c r="AP5" s="97">
        <v>441</v>
      </c>
      <c r="AQ5" s="97">
        <v>441</v>
      </c>
      <c r="AR5" s="97">
        <v>441</v>
      </c>
      <c r="AS5" s="97">
        <v>441</v>
      </c>
      <c r="AT5" s="97">
        <v>441</v>
      </c>
      <c r="AU5" s="16"/>
      <c r="AV5" s="16"/>
      <c r="AW5" s="41"/>
    </row>
    <row r="6" spans="1:49" ht="13.8" thickBot="1" x14ac:dyDescent="0.25"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</row>
    <row r="7" spans="1:49" x14ac:dyDescent="0.2">
      <c r="A7" t="s">
        <v>8</v>
      </c>
      <c r="B7" t="s">
        <v>6</v>
      </c>
      <c r="C7" s="21">
        <f>$C$1</f>
        <v>46174</v>
      </c>
      <c r="D7" s="93" t="s">
        <v>46</v>
      </c>
      <c r="E7" s="84" t="s">
        <v>41</v>
      </c>
      <c r="F7" s="84" t="s">
        <v>37</v>
      </c>
      <c r="G7" s="84" t="s">
        <v>47</v>
      </c>
      <c r="H7" s="85" t="s">
        <v>27</v>
      </c>
      <c r="I7" s="84" t="s">
        <v>42</v>
      </c>
      <c r="J7" s="84" t="s">
        <v>24</v>
      </c>
      <c r="K7" s="84" t="s">
        <v>38</v>
      </c>
      <c r="L7" s="84" t="s">
        <v>31</v>
      </c>
      <c r="M7" s="84" t="s">
        <v>28</v>
      </c>
      <c r="N7" s="84" t="s">
        <v>43</v>
      </c>
      <c r="O7" s="84" t="s">
        <v>25</v>
      </c>
      <c r="P7" s="84" t="s">
        <v>39</v>
      </c>
      <c r="Q7" s="84" t="s">
        <v>32</v>
      </c>
      <c r="R7" s="84" t="s">
        <v>29</v>
      </c>
      <c r="S7" s="84" t="s">
        <v>44</v>
      </c>
      <c r="T7" s="84" t="s">
        <v>26</v>
      </c>
      <c r="U7" s="84" t="s">
        <v>40</v>
      </c>
      <c r="V7" s="84" t="s">
        <v>21</v>
      </c>
      <c r="W7" s="84" t="s">
        <v>30</v>
      </c>
      <c r="X7" s="84" t="s">
        <v>45</v>
      </c>
      <c r="Y7" s="84" t="s">
        <v>33</v>
      </c>
      <c r="Z7" s="84" t="s">
        <v>48</v>
      </c>
      <c r="AA7" s="86" t="s">
        <v>49</v>
      </c>
      <c r="AB7" s="86" t="s">
        <v>37</v>
      </c>
      <c r="AC7" s="86" t="s">
        <v>27</v>
      </c>
      <c r="AD7" s="87" t="s">
        <v>34</v>
      </c>
      <c r="AE7" s="87" t="s">
        <v>24</v>
      </c>
      <c r="AF7" s="87" t="s">
        <v>50</v>
      </c>
      <c r="AG7" s="87" t="s">
        <v>38</v>
      </c>
      <c r="AH7" s="87" t="s">
        <v>28</v>
      </c>
      <c r="AI7" s="87" t="s">
        <v>35</v>
      </c>
      <c r="AJ7" s="87" t="s">
        <v>25</v>
      </c>
      <c r="AK7" s="87" t="s">
        <v>51</v>
      </c>
      <c r="AL7" s="87" t="s">
        <v>39</v>
      </c>
      <c r="AM7" s="87" t="s">
        <v>36</v>
      </c>
      <c r="AN7" s="88" t="s">
        <v>26</v>
      </c>
      <c r="AO7" s="84" t="s">
        <v>52</v>
      </c>
      <c r="AP7" s="84" t="s">
        <v>40</v>
      </c>
      <c r="AQ7" s="84" t="s">
        <v>30</v>
      </c>
      <c r="AR7" s="84" t="s">
        <v>22</v>
      </c>
      <c r="AS7" s="84" t="s">
        <v>33</v>
      </c>
      <c r="AT7" s="84" t="s">
        <v>53</v>
      </c>
      <c r="AU7" s="35"/>
      <c r="AV7" s="36"/>
      <c r="AW7" s="37"/>
    </row>
    <row r="8" spans="1:49" x14ac:dyDescent="0.2">
      <c r="C8" s="18" t="s">
        <v>18</v>
      </c>
      <c r="D8" s="94">
        <v>1946</v>
      </c>
      <c r="E8" s="89">
        <v>2584</v>
      </c>
      <c r="F8" s="89">
        <v>1872</v>
      </c>
      <c r="G8" s="89">
        <v>923</v>
      </c>
      <c r="H8" s="89">
        <v>1615</v>
      </c>
      <c r="I8" s="89">
        <v>3969</v>
      </c>
      <c r="J8" s="89">
        <v>2833</v>
      </c>
      <c r="K8" s="89">
        <v>1944</v>
      </c>
      <c r="L8" s="89">
        <v>1309</v>
      </c>
      <c r="M8" s="89">
        <v>1892</v>
      </c>
      <c r="N8" s="89">
        <v>2508</v>
      </c>
      <c r="O8" s="89">
        <v>1227</v>
      </c>
      <c r="P8" s="89">
        <v>1325</v>
      </c>
      <c r="Q8" s="89">
        <v>1793</v>
      </c>
      <c r="R8" s="89">
        <v>2180</v>
      </c>
      <c r="S8" s="89">
        <v>1775</v>
      </c>
      <c r="T8" s="89">
        <v>1877</v>
      </c>
      <c r="U8" s="89">
        <v>2629</v>
      </c>
      <c r="V8" s="89">
        <v>2907</v>
      </c>
      <c r="W8" s="89">
        <v>3044</v>
      </c>
      <c r="X8" s="89">
        <v>1980</v>
      </c>
      <c r="Y8" s="89">
        <v>1619</v>
      </c>
      <c r="Z8" s="89">
        <v>3245</v>
      </c>
      <c r="AA8" s="89">
        <v>2593</v>
      </c>
      <c r="AB8" s="89">
        <v>2343</v>
      </c>
      <c r="AC8" s="89">
        <v>2992</v>
      </c>
      <c r="AD8" s="89">
        <v>3904</v>
      </c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38"/>
      <c r="AV8" s="38"/>
      <c r="AW8" s="39"/>
    </row>
    <row r="9" spans="1:49" x14ac:dyDescent="0.2">
      <c r="C9" s="18" t="s">
        <v>3</v>
      </c>
      <c r="D9" s="95">
        <v>1.946</v>
      </c>
      <c r="E9" s="90">
        <v>2.5840000000000001</v>
      </c>
      <c r="F9" s="90">
        <v>1.8720000000000001</v>
      </c>
      <c r="G9" s="90">
        <v>0.92300000000000004</v>
      </c>
      <c r="H9" s="90">
        <v>1.615</v>
      </c>
      <c r="I9" s="90">
        <v>3.9689999999999999</v>
      </c>
      <c r="J9" s="90">
        <v>2.8330000000000002</v>
      </c>
      <c r="K9" s="90">
        <v>1.944</v>
      </c>
      <c r="L9" s="90">
        <v>1.3089999999999999</v>
      </c>
      <c r="M9" s="90">
        <v>1.8919999999999999</v>
      </c>
      <c r="N9" s="90">
        <v>2.508</v>
      </c>
      <c r="O9" s="90">
        <v>1.2270000000000001</v>
      </c>
      <c r="P9" s="90">
        <v>1.325</v>
      </c>
      <c r="Q9" s="90">
        <v>1.7929999999999999</v>
      </c>
      <c r="R9" s="90">
        <v>2.1800000000000002</v>
      </c>
      <c r="S9" s="90">
        <v>1.7749999999999999</v>
      </c>
      <c r="T9" s="90">
        <v>1.877</v>
      </c>
      <c r="U9" s="90">
        <v>2.629</v>
      </c>
      <c r="V9" s="90">
        <v>2.907</v>
      </c>
      <c r="W9" s="90">
        <v>3.044</v>
      </c>
      <c r="X9" s="90">
        <v>1.98</v>
      </c>
      <c r="Y9" s="90">
        <v>1.619</v>
      </c>
      <c r="Z9" s="90">
        <v>3.2450000000000001</v>
      </c>
      <c r="AA9" s="90">
        <v>2.593</v>
      </c>
      <c r="AB9" s="90">
        <v>2.343</v>
      </c>
      <c r="AC9" s="90">
        <v>2.992</v>
      </c>
      <c r="AD9" s="90">
        <v>3.9039999999999999</v>
      </c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38"/>
      <c r="AV9" s="38"/>
      <c r="AW9" s="39"/>
    </row>
    <row r="10" spans="1:49" x14ac:dyDescent="0.2">
      <c r="C10" s="19" t="s">
        <v>19</v>
      </c>
      <c r="D10" s="96">
        <v>599</v>
      </c>
      <c r="E10" s="92">
        <v>546</v>
      </c>
      <c r="F10" s="92">
        <v>450</v>
      </c>
      <c r="G10" s="92">
        <v>490</v>
      </c>
      <c r="H10" s="92">
        <v>610</v>
      </c>
      <c r="I10" s="92">
        <v>600</v>
      </c>
      <c r="J10" s="92">
        <v>432</v>
      </c>
      <c r="K10" s="92">
        <v>586</v>
      </c>
      <c r="L10" s="92">
        <v>548</v>
      </c>
      <c r="M10" s="92">
        <v>622</v>
      </c>
      <c r="N10" s="92">
        <v>567</v>
      </c>
      <c r="O10" s="92">
        <v>472</v>
      </c>
      <c r="P10" s="92">
        <v>481</v>
      </c>
      <c r="Q10" s="92">
        <v>605</v>
      </c>
      <c r="R10" s="92">
        <v>550</v>
      </c>
      <c r="S10" s="92">
        <v>526</v>
      </c>
      <c r="T10" s="92">
        <v>517</v>
      </c>
      <c r="U10" s="92">
        <v>514</v>
      </c>
      <c r="V10" s="92">
        <v>586</v>
      </c>
      <c r="W10" s="92">
        <v>473</v>
      </c>
      <c r="X10" s="92">
        <v>635</v>
      </c>
      <c r="Y10" s="92">
        <v>552</v>
      </c>
      <c r="Z10" s="92">
        <v>608</v>
      </c>
      <c r="AA10" s="92">
        <v>553</v>
      </c>
      <c r="AB10" s="92">
        <v>572</v>
      </c>
      <c r="AC10" s="92">
        <v>543</v>
      </c>
      <c r="AD10" s="92">
        <v>445</v>
      </c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38"/>
      <c r="AV10" s="38"/>
      <c r="AW10" s="39"/>
    </row>
    <row r="11" spans="1:49" ht="13.8" thickBot="1" x14ac:dyDescent="0.25">
      <c r="C11" s="20" t="s">
        <v>17</v>
      </c>
      <c r="D11" s="97">
        <v>545</v>
      </c>
      <c r="E11" s="97">
        <v>545</v>
      </c>
      <c r="F11" s="97">
        <v>545</v>
      </c>
      <c r="G11" s="97">
        <v>545</v>
      </c>
      <c r="H11" s="97">
        <v>545</v>
      </c>
      <c r="I11" s="97">
        <v>545</v>
      </c>
      <c r="J11" s="97">
        <v>545</v>
      </c>
      <c r="K11" s="97">
        <v>539</v>
      </c>
      <c r="L11" s="97">
        <v>539</v>
      </c>
      <c r="M11" s="97">
        <v>539</v>
      </c>
      <c r="N11" s="97">
        <v>539</v>
      </c>
      <c r="O11" s="97">
        <v>539</v>
      </c>
      <c r="P11" s="97">
        <v>539</v>
      </c>
      <c r="Q11" s="97">
        <v>539</v>
      </c>
      <c r="R11" s="97">
        <v>539</v>
      </c>
      <c r="S11" s="97">
        <v>481</v>
      </c>
      <c r="T11" s="97">
        <v>481</v>
      </c>
      <c r="U11" s="97">
        <v>481</v>
      </c>
      <c r="V11" s="97">
        <v>481</v>
      </c>
      <c r="W11" s="97">
        <v>481</v>
      </c>
      <c r="X11" s="97">
        <v>481</v>
      </c>
      <c r="Y11" s="97">
        <v>481</v>
      </c>
      <c r="Z11" s="97">
        <v>430</v>
      </c>
      <c r="AA11" s="97">
        <v>430</v>
      </c>
      <c r="AB11" s="97">
        <v>430</v>
      </c>
      <c r="AC11" s="97">
        <v>430</v>
      </c>
      <c r="AD11" s="97">
        <v>430</v>
      </c>
      <c r="AE11" s="97">
        <v>430</v>
      </c>
      <c r="AF11" s="97">
        <v>430</v>
      </c>
      <c r="AG11" s="97">
        <v>378</v>
      </c>
      <c r="AH11" s="97">
        <v>378</v>
      </c>
      <c r="AI11" s="97">
        <v>378</v>
      </c>
      <c r="AJ11" s="97">
        <v>378</v>
      </c>
      <c r="AK11" s="97">
        <v>378</v>
      </c>
      <c r="AL11" s="97">
        <v>378</v>
      </c>
      <c r="AM11" s="97">
        <v>383</v>
      </c>
      <c r="AN11" s="97">
        <v>383</v>
      </c>
      <c r="AO11" s="97">
        <v>383</v>
      </c>
      <c r="AP11" s="97">
        <v>383</v>
      </c>
      <c r="AQ11" s="97">
        <v>383</v>
      </c>
      <c r="AR11" s="97">
        <v>383</v>
      </c>
      <c r="AS11" s="97">
        <v>383</v>
      </c>
      <c r="AT11" s="97">
        <v>383</v>
      </c>
      <c r="AU11" s="16"/>
      <c r="AV11" s="16"/>
      <c r="AW11" s="41"/>
    </row>
    <row r="12" spans="1:49" ht="13.8" thickBot="1" x14ac:dyDescent="0.25"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</row>
    <row r="13" spans="1:49" x14ac:dyDescent="0.2">
      <c r="A13" t="s">
        <v>8</v>
      </c>
      <c r="B13" t="s">
        <v>5</v>
      </c>
      <c r="C13" s="21">
        <f>$C$1</f>
        <v>46174</v>
      </c>
      <c r="D13" s="93" t="s">
        <v>46</v>
      </c>
      <c r="E13" s="84" t="s">
        <v>41</v>
      </c>
      <c r="F13" s="84" t="s">
        <v>37</v>
      </c>
      <c r="G13" s="84" t="s">
        <v>47</v>
      </c>
      <c r="H13" s="85" t="s">
        <v>27</v>
      </c>
      <c r="I13" s="84" t="s">
        <v>42</v>
      </c>
      <c r="J13" s="84" t="s">
        <v>24</v>
      </c>
      <c r="K13" s="84" t="s">
        <v>38</v>
      </c>
      <c r="L13" s="84" t="s">
        <v>31</v>
      </c>
      <c r="M13" s="84" t="s">
        <v>28</v>
      </c>
      <c r="N13" s="84" t="s">
        <v>43</v>
      </c>
      <c r="O13" s="84" t="s">
        <v>25</v>
      </c>
      <c r="P13" s="84" t="s">
        <v>39</v>
      </c>
      <c r="Q13" s="84" t="s">
        <v>32</v>
      </c>
      <c r="R13" s="84" t="s">
        <v>29</v>
      </c>
      <c r="S13" s="84" t="s">
        <v>44</v>
      </c>
      <c r="T13" s="84" t="s">
        <v>26</v>
      </c>
      <c r="U13" s="84" t="s">
        <v>40</v>
      </c>
      <c r="V13" s="84" t="s">
        <v>21</v>
      </c>
      <c r="W13" s="84" t="s">
        <v>30</v>
      </c>
      <c r="X13" s="84" t="s">
        <v>45</v>
      </c>
      <c r="Y13" s="84" t="s">
        <v>33</v>
      </c>
      <c r="Z13" s="84" t="s">
        <v>48</v>
      </c>
      <c r="AA13" s="86" t="s">
        <v>49</v>
      </c>
      <c r="AB13" s="86" t="s">
        <v>37</v>
      </c>
      <c r="AC13" s="86" t="s">
        <v>27</v>
      </c>
      <c r="AD13" s="87" t="s">
        <v>34</v>
      </c>
      <c r="AE13" s="87" t="s">
        <v>24</v>
      </c>
      <c r="AF13" s="87" t="s">
        <v>50</v>
      </c>
      <c r="AG13" s="87" t="s">
        <v>38</v>
      </c>
      <c r="AH13" s="87" t="s">
        <v>28</v>
      </c>
      <c r="AI13" s="87" t="s">
        <v>35</v>
      </c>
      <c r="AJ13" s="87" t="s">
        <v>25</v>
      </c>
      <c r="AK13" s="87" t="s">
        <v>51</v>
      </c>
      <c r="AL13" s="87" t="s">
        <v>39</v>
      </c>
      <c r="AM13" s="87" t="s">
        <v>36</v>
      </c>
      <c r="AN13" s="88" t="s">
        <v>26</v>
      </c>
      <c r="AO13" s="84" t="s">
        <v>52</v>
      </c>
      <c r="AP13" s="84" t="s">
        <v>40</v>
      </c>
      <c r="AQ13" s="84" t="s">
        <v>30</v>
      </c>
      <c r="AR13" s="84" t="s">
        <v>22</v>
      </c>
      <c r="AS13" s="84" t="s">
        <v>33</v>
      </c>
      <c r="AT13" s="84" t="s">
        <v>53</v>
      </c>
      <c r="AU13" s="35"/>
      <c r="AV13" s="36"/>
      <c r="AW13" s="37"/>
    </row>
    <row r="14" spans="1:49" x14ac:dyDescent="0.2">
      <c r="C14" s="18" t="s">
        <v>18</v>
      </c>
      <c r="D14" s="94">
        <v>922</v>
      </c>
      <c r="E14" s="89">
        <v>1519</v>
      </c>
      <c r="F14" s="89">
        <v>460</v>
      </c>
      <c r="G14" s="89">
        <v>808</v>
      </c>
      <c r="H14" s="89">
        <v>340</v>
      </c>
      <c r="I14" s="89">
        <v>1205</v>
      </c>
      <c r="J14" s="89">
        <v>1436</v>
      </c>
      <c r="K14" s="89">
        <v>868</v>
      </c>
      <c r="L14" s="89">
        <v>512</v>
      </c>
      <c r="M14" s="89">
        <v>1000</v>
      </c>
      <c r="N14" s="89">
        <v>1125</v>
      </c>
      <c r="O14" s="89">
        <v>1031</v>
      </c>
      <c r="P14" s="89">
        <v>685</v>
      </c>
      <c r="Q14" s="89">
        <v>984</v>
      </c>
      <c r="R14" s="89">
        <v>535</v>
      </c>
      <c r="S14" s="89">
        <v>845</v>
      </c>
      <c r="T14" s="89">
        <v>1373</v>
      </c>
      <c r="U14" s="89">
        <v>1205</v>
      </c>
      <c r="V14" s="89">
        <v>891</v>
      </c>
      <c r="W14" s="89">
        <v>560</v>
      </c>
      <c r="X14" s="89">
        <v>1182</v>
      </c>
      <c r="Y14" s="89">
        <v>847</v>
      </c>
      <c r="Z14" s="89">
        <v>1716</v>
      </c>
      <c r="AA14" s="89">
        <v>1059</v>
      </c>
      <c r="AB14" s="89">
        <v>1372</v>
      </c>
      <c r="AC14" s="89">
        <v>1187</v>
      </c>
      <c r="AD14" s="89">
        <v>1197</v>
      </c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38"/>
      <c r="AV14" s="38"/>
      <c r="AW14" s="39"/>
    </row>
    <row r="15" spans="1:49" x14ac:dyDescent="0.2">
      <c r="C15" s="18" t="s">
        <v>3</v>
      </c>
      <c r="D15" s="95">
        <v>0.92200000000000004</v>
      </c>
      <c r="E15" s="90">
        <v>1.5189999999999999</v>
      </c>
      <c r="F15" s="90">
        <v>0.46</v>
      </c>
      <c r="G15" s="90">
        <v>0.80800000000000005</v>
      </c>
      <c r="H15" s="90">
        <v>0.34</v>
      </c>
      <c r="I15" s="90">
        <v>1.2050000000000001</v>
      </c>
      <c r="J15" s="90">
        <v>1.4359999999999999</v>
      </c>
      <c r="K15" s="90">
        <v>0.86799999999999999</v>
      </c>
      <c r="L15" s="90">
        <v>0.51200000000000001</v>
      </c>
      <c r="M15" s="90">
        <v>1</v>
      </c>
      <c r="N15" s="90">
        <v>1.125</v>
      </c>
      <c r="O15" s="90">
        <v>1.0309999999999999</v>
      </c>
      <c r="P15" s="90">
        <v>0.68500000000000005</v>
      </c>
      <c r="Q15" s="90">
        <v>0.98399999999999999</v>
      </c>
      <c r="R15" s="90">
        <v>0.53500000000000003</v>
      </c>
      <c r="S15" s="90">
        <v>0.84499999999999997</v>
      </c>
      <c r="T15" s="90">
        <v>1.373</v>
      </c>
      <c r="U15" s="90">
        <v>1.2050000000000001</v>
      </c>
      <c r="V15" s="90">
        <v>0.89100000000000001</v>
      </c>
      <c r="W15" s="90">
        <v>0.56000000000000005</v>
      </c>
      <c r="X15" s="90">
        <v>1.1819999999999999</v>
      </c>
      <c r="Y15" s="90">
        <v>0.84699999999999998</v>
      </c>
      <c r="Z15" s="90">
        <v>1.716</v>
      </c>
      <c r="AA15" s="90">
        <v>1.0589999999999999</v>
      </c>
      <c r="AB15" s="90">
        <v>1.3720000000000001</v>
      </c>
      <c r="AC15" s="90">
        <v>1.1870000000000001</v>
      </c>
      <c r="AD15" s="90">
        <v>1.1970000000000001</v>
      </c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38"/>
      <c r="AV15" s="38"/>
      <c r="AW15" s="39"/>
    </row>
    <row r="16" spans="1:49" x14ac:dyDescent="0.2">
      <c r="C16" s="19" t="s">
        <v>19</v>
      </c>
      <c r="D16" s="96">
        <v>532</v>
      </c>
      <c r="E16" s="92">
        <v>726</v>
      </c>
      <c r="F16" s="92">
        <v>605</v>
      </c>
      <c r="G16" s="92">
        <v>438</v>
      </c>
      <c r="H16" s="92">
        <v>468</v>
      </c>
      <c r="I16" s="92">
        <v>632</v>
      </c>
      <c r="J16" s="92">
        <v>596</v>
      </c>
      <c r="K16" s="92">
        <v>639</v>
      </c>
      <c r="L16" s="92">
        <v>437</v>
      </c>
      <c r="M16" s="92">
        <v>506</v>
      </c>
      <c r="N16" s="92">
        <v>597</v>
      </c>
      <c r="O16" s="92">
        <v>624</v>
      </c>
      <c r="P16" s="92">
        <v>572</v>
      </c>
      <c r="Q16" s="92">
        <v>618</v>
      </c>
      <c r="R16" s="92">
        <v>437</v>
      </c>
      <c r="S16" s="92">
        <v>735</v>
      </c>
      <c r="T16" s="92">
        <v>589</v>
      </c>
      <c r="U16" s="92">
        <v>597</v>
      </c>
      <c r="V16" s="92">
        <v>705</v>
      </c>
      <c r="W16" s="92">
        <v>535</v>
      </c>
      <c r="X16" s="92">
        <v>698</v>
      </c>
      <c r="Y16" s="92">
        <v>393</v>
      </c>
      <c r="Z16" s="92">
        <v>693</v>
      </c>
      <c r="AA16" s="92">
        <v>610</v>
      </c>
      <c r="AB16" s="92">
        <v>535</v>
      </c>
      <c r="AC16" s="92">
        <v>635</v>
      </c>
      <c r="AD16" s="92">
        <v>536</v>
      </c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38"/>
      <c r="AV16" s="38"/>
      <c r="AW16" s="39"/>
    </row>
    <row r="17" spans="1:49" ht="13.8" thickBot="1" x14ac:dyDescent="0.25">
      <c r="C17" s="20" t="s">
        <v>17</v>
      </c>
      <c r="D17" s="97">
        <v>684</v>
      </c>
      <c r="E17" s="97">
        <v>684</v>
      </c>
      <c r="F17" s="97">
        <v>684</v>
      </c>
      <c r="G17" s="97">
        <v>684</v>
      </c>
      <c r="H17" s="97">
        <v>684</v>
      </c>
      <c r="I17" s="97">
        <v>684</v>
      </c>
      <c r="J17" s="97">
        <v>684</v>
      </c>
      <c r="K17" s="97">
        <v>644</v>
      </c>
      <c r="L17" s="97">
        <v>644</v>
      </c>
      <c r="M17" s="97">
        <v>644</v>
      </c>
      <c r="N17" s="97">
        <v>644</v>
      </c>
      <c r="O17" s="97">
        <v>644</v>
      </c>
      <c r="P17" s="97">
        <v>644</v>
      </c>
      <c r="Q17" s="97">
        <v>644</v>
      </c>
      <c r="R17" s="97">
        <v>644</v>
      </c>
      <c r="S17" s="97">
        <v>550</v>
      </c>
      <c r="T17" s="97">
        <v>550</v>
      </c>
      <c r="U17" s="97">
        <v>550</v>
      </c>
      <c r="V17" s="97">
        <v>550</v>
      </c>
      <c r="W17" s="97">
        <v>550</v>
      </c>
      <c r="X17" s="97">
        <v>550</v>
      </c>
      <c r="Y17" s="97">
        <v>550</v>
      </c>
      <c r="Z17" s="97">
        <v>504</v>
      </c>
      <c r="AA17" s="97">
        <v>504</v>
      </c>
      <c r="AB17" s="97">
        <v>504</v>
      </c>
      <c r="AC17" s="97">
        <v>504</v>
      </c>
      <c r="AD17" s="97">
        <v>504</v>
      </c>
      <c r="AE17" s="97">
        <v>504</v>
      </c>
      <c r="AF17" s="97">
        <v>504</v>
      </c>
      <c r="AG17" s="97">
        <v>446</v>
      </c>
      <c r="AH17" s="97">
        <v>446</v>
      </c>
      <c r="AI17" s="97">
        <v>446</v>
      </c>
      <c r="AJ17" s="97">
        <v>446</v>
      </c>
      <c r="AK17" s="97">
        <v>446</v>
      </c>
      <c r="AL17" s="97">
        <v>446</v>
      </c>
      <c r="AM17" s="97">
        <v>416</v>
      </c>
      <c r="AN17" s="97">
        <v>416</v>
      </c>
      <c r="AO17" s="97">
        <v>416</v>
      </c>
      <c r="AP17" s="97">
        <v>416</v>
      </c>
      <c r="AQ17" s="97">
        <v>416</v>
      </c>
      <c r="AR17" s="97">
        <v>416</v>
      </c>
      <c r="AS17" s="97">
        <v>416</v>
      </c>
      <c r="AT17" s="97">
        <v>416</v>
      </c>
      <c r="AU17" s="16"/>
      <c r="AV17" s="16"/>
      <c r="AW17" s="41"/>
    </row>
    <row r="18" spans="1:49" ht="13.8" thickBot="1" x14ac:dyDescent="0.25"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</row>
    <row r="19" spans="1:49" x14ac:dyDescent="0.2">
      <c r="A19" t="s">
        <v>8</v>
      </c>
      <c r="B19" t="s">
        <v>4</v>
      </c>
      <c r="C19" s="21">
        <f>$C$1</f>
        <v>46174</v>
      </c>
      <c r="D19" s="93" t="s">
        <v>46</v>
      </c>
      <c r="E19" s="84" t="s">
        <v>41</v>
      </c>
      <c r="F19" s="84" t="s">
        <v>37</v>
      </c>
      <c r="G19" s="84" t="s">
        <v>47</v>
      </c>
      <c r="H19" s="85" t="s">
        <v>27</v>
      </c>
      <c r="I19" s="84" t="s">
        <v>42</v>
      </c>
      <c r="J19" s="84" t="s">
        <v>24</v>
      </c>
      <c r="K19" s="84" t="s">
        <v>38</v>
      </c>
      <c r="L19" s="84" t="s">
        <v>31</v>
      </c>
      <c r="M19" s="84" t="s">
        <v>28</v>
      </c>
      <c r="N19" s="84" t="s">
        <v>43</v>
      </c>
      <c r="O19" s="84" t="s">
        <v>25</v>
      </c>
      <c r="P19" s="84" t="s">
        <v>39</v>
      </c>
      <c r="Q19" s="84" t="s">
        <v>32</v>
      </c>
      <c r="R19" s="84" t="s">
        <v>29</v>
      </c>
      <c r="S19" s="84" t="s">
        <v>44</v>
      </c>
      <c r="T19" s="84" t="s">
        <v>26</v>
      </c>
      <c r="U19" s="84" t="s">
        <v>40</v>
      </c>
      <c r="V19" s="84" t="s">
        <v>21</v>
      </c>
      <c r="W19" s="84" t="s">
        <v>30</v>
      </c>
      <c r="X19" s="84" t="s">
        <v>45</v>
      </c>
      <c r="Y19" s="84" t="s">
        <v>33</v>
      </c>
      <c r="Z19" s="84" t="s">
        <v>48</v>
      </c>
      <c r="AA19" s="86" t="s">
        <v>49</v>
      </c>
      <c r="AB19" s="86" t="s">
        <v>37</v>
      </c>
      <c r="AC19" s="86" t="s">
        <v>27</v>
      </c>
      <c r="AD19" s="87" t="s">
        <v>34</v>
      </c>
      <c r="AE19" s="87" t="s">
        <v>24</v>
      </c>
      <c r="AF19" s="87" t="s">
        <v>50</v>
      </c>
      <c r="AG19" s="87" t="s">
        <v>38</v>
      </c>
      <c r="AH19" s="87" t="s">
        <v>28</v>
      </c>
      <c r="AI19" s="87" t="s">
        <v>35</v>
      </c>
      <c r="AJ19" s="87" t="s">
        <v>25</v>
      </c>
      <c r="AK19" s="87" t="s">
        <v>51</v>
      </c>
      <c r="AL19" s="87" t="s">
        <v>39</v>
      </c>
      <c r="AM19" s="87" t="s">
        <v>36</v>
      </c>
      <c r="AN19" s="88" t="s">
        <v>26</v>
      </c>
      <c r="AO19" s="84" t="s">
        <v>52</v>
      </c>
      <c r="AP19" s="84" t="s">
        <v>40</v>
      </c>
      <c r="AQ19" s="84" t="s">
        <v>30</v>
      </c>
      <c r="AR19" s="84" t="s">
        <v>22</v>
      </c>
      <c r="AS19" s="84" t="s">
        <v>33</v>
      </c>
      <c r="AT19" s="84" t="s">
        <v>53</v>
      </c>
      <c r="AU19" s="35"/>
      <c r="AV19" s="36"/>
      <c r="AW19" s="37"/>
    </row>
    <row r="20" spans="1:49" x14ac:dyDescent="0.2">
      <c r="C20" s="18" t="s">
        <v>18</v>
      </c>
      <c r="D20" s="94">
        <v>637</v>
      </c>
      <c r="E20" s="89">
        <v>470</v>
      </c>
      <c r="F20" s="89">
        <v>636</v>
      </c>
      <c r="G20" s="89">
        <v>214</v>
      </c>
      <c r="H20" s="89">
        <v>518</v>
      </c>
      <c r="I20" s="89">
        <v>742</v>
      </c>
      <c r="J20" s="89">
        <v>430</v>
      </c>
      <c r="K20" s="89">
        <v>439</v>
      </c>
      <c r="L20" s="89">
        <v>864</v>
      </c>
      <c r="M20" s="89">
        <v>418</v>
      </c>
      <c r="N20" s="89">
        <v>530</v>
      </c>
      <c r="O20" s="89">
        <v>304</v>
      </c>
      <c r="P20" s="89">
        <v>627</v>
      </c>
      <c r="Q20" s="89">
        <v>651</v>
      </c>
      <c r="R20" s="89">
        <v>301</v>
      </c>
      <c r="S20" s="89">
        <v>417</v>
      </c>
      <c r="T20" s="89">
        <v>329</v>
      </c>
      <c r="U20" s="89">
        <v>476</v>
      </c>
      <c r="V20" s="89">
        <v>449</v>
      </c>
      <c r="W20" s="89">
        <v>391</v>
      </c>
      <c r="X20" s="89">
        <v>484</v>
      </c>
      <c r="Y20" s="89">
        <v>307</v>
      </c>
      <c r="Z20" s="89">
        <v>689</v>
      </c>
      <c r="AA20" s="89">
        <v>718</v>
      </c>
      <c r="AB20" s="89">
        <v>597</v>
      </c>
      <c r="AC20" s="89">
        <v>606</v>
      </c>
      <c r="AD20" s="89">
        <v>690</v>
      </c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38"/>
      <c r="AV20" s="38"/>
      <c r="AW20" s="39"/>
    </row>
    <row r="21" spans="1:49" x14ac:dyDescent="0.2">
      <c r="C21" s="18" t="s">
        <v>3</v>
      </c>
      <c r="D21" s="95">
        <v>0.63700000000000001</v>
      </c>
      <c r="E21" s="90">
        <v>0.47</v>
      </c>
      <c r="F21" s="90">
        <v>0.63600000000000001</v>
      </c>
      <c r="G21" s="90">
        <v>0.214</v>
      </c>
      <c r="H21" s="90">
        <v>0.51800000000000002</v>
      </c>
      <c r="I21" s="90">
        <v>0.74199999999999999</v>
      </c>
      <c r="J21" s="90">
        <v>0.43</v>
      </c>
      <c r="K21" s="90">
        <v>0.439</v>
      </c>
      <c r="L21" s="90">
        <v>0.86399999999999999</v>
      </c>
      <c r="M21" s="90">
        <v>0.41799999999999998</v>
      </c>
      <c r="N21" s="90">
        <v>0.53</v>
      </c>
      <c r="O21" s="90">
        <v>0.30399999999999999</v>
      </c>
      <c r="P21" s="90">
        <v>0.627</v>
      </c>
      <c r="Q21" s="90">
        <v>0.65100000000000002</v>
      </c>
      <c r="R21" s="90">
        <v>0.30099999999999999</v>
      </c>
      <c r="S21" s="90">
        <v>0.41699999999999998</v>
      </c>
      <c r="T21" s="90">
        <v>0.32900000000000001</v>
      </c>
      <c r="U21" s="90">
        <v>0.47599999999999998</v>
      </c>
      <c r="V21" s="90">
        <v>0.44900000000000001</v>
      </c>
      <c r="W21" s="90">
        <v>0.39100000000000001</v>
      </c>
      <c r="X21" s="90">
        <v>0.48399999999999999</v>
      </c>
      <c r="Y21" s="90">
        <v>0.307</v>
      </c>
      <c r="Z21" s="90">
        <v>0.68899999999999995</v>
      </c>
      <c r="AA21" s="90">
        <v>0.71799999999999997</v>
      </c>
      <c r="AB21" s="90">
        <v>0.59699999999999998</v>
      </c>
      <c r="AC21" s="90">
        <v>0.60599999999999998</v>
      </c>
      <c r="AD21" s="90">
        <v>0.69</v>
      </c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38"/>
      <c r="AV21" s="38"/>
      <c r="AW21" s="39"/>
    </row>
    <row r="22" spans="1:49" x14ac:dyDescent="0.2">
      <c r="C22" s="19" t="s">
        <v>19</v>
      </c>
      <c r="D22" s="96">
        <v>465</v>
      </c>
      <c r="E22" s="92">
        <v>499</v>
      </c>
      <c r="F22" s="92">
        <v>544</v>
      </c>
      <c r="G22" s="92">
        <v>684</v>
      </c>
      <c r="H22" s="92">
        <v>460</v>
      </c>
      <c r="I22" s="92">
        <v>611</v>
      </c>
      <c r="J22" s="92">
        <v>621</v>
      </c>
      <c r="K22" s="92">
        <v>477</v>
      </c>
      <c r="L22" s="92">
        <v>584</v>
      </c>
      <c r="M22" s="92">
        <v>468</v>
      </c>
      <c r="N22" s="92">
        <v>455</v>
      </c>
      <c r="O22" s="92">
        <v>451</v>
      </c>
      <c r="P22" s="92">
        <v>426</v>
      </c>
      <c r="Q22" s="92">
        <v>524</v>
      </c>
      <c r="R22" s="92">
        <v>488</v>
      </c>
      <c r="S22" s="92">
        <v>488</v>
      </c>
      <c r="T22" s="92">
        <v>604</v>
      </c>
      <c r="U22" s="92">
        <v>488</v>
      </c>
      <c r="V22" s="92">
        <v>714</v>
      </c>
      <c r="W22" s="92">
        <v>630</v>
      </c>
      <c r="X22" s="92">
        <v>543</v>
      </c>
      <c r="Y22" s="92">
        <v>724</v>
      </c>
      <c r="Z22" s="92">
        <v>474</v>
      </c>
      <c r="AA22" s="92">
        <v>617</v>
      </c>
      <c r="AB22" s="92">
        <v>508</v>
      </c>
      <c r="AC22" s="92">
        <v>480</v>
      </c>
      <c r="AD22" s="92">
        <v>502</v>
      </c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38"/>
      <c r="AV22" s="38"/>
      <c r="AW22" s="39"/>
    </row>
    <row r="23" spans="1:49" ht="13.8" thickBot="1" x14ac:dyDescent="0.25">
      <c r="C23" s="20" t="s">
        <v>17</v>
      </c>
      <c r="D23" s="97">
        <v>524</v>
      </c>
      <c r="E23" s="97">
        <v>524</v>
      </c>
      <c r="F23" s="97">
        <v>524</v>
      </c>
      <c r="G23" s="97">
        <v>524</v>
      </c>
      <c r="H23" s="97">
        <v>524</v>
      </c>
      <c r="I23" s="97">
        <v>524</v>
      </c>
      <c r="J23" s="97">
        <v>524</v>
      </c>
      <c r="K23" s="97">
        <v>476</v>
      </c>
      <c r="L23" s="97">
        <v>476</v>
      </c>
      <c r="M23" s="97">
        <v>476</v>
      </c>
      <c r="N23" s="97">
        <v>476</v>
      </c>
      <c r="O23" s="97">
        <v>476</v>
      </c>
      <c r="P23" s="97">
        <v>476</v>
      </c>
      <c r="Q23" s="97">
        <v>476</v>
      </c>
      <c r="R23" s="97">
        <v>476</v>
      </c>
      <c r="S23" s="97">
        <v>410</v>
      </c>
      <c r="T23" s="97">
        <v>410</v>
      </c>
      <c r="U23" s="97">
        <v>410</v>
      </c>
      <c r="V23" s="97">
        <v>410</v>
      </c>
      <c r="W23" s="97">
        <v>410</v>
      </c>
      <c r="X23" s="97">
        <v>410</v>
      </c>
      <c r="Y23" s="97">
        <v>410</v>
      </c>
      <c r="Z23" s="97">
        <v>358</v>
      </c>
      <c r="AA23" s="97">
        <v>358</v>
      </c>
      <c r="AB23" s="97">
        <v>358</v>
      </c>
      <c r="AC23" s="97">
        <v>358</v>
      </c>
      <c r="AD23" s="97">
        <v>358</v>
      </c>
      <c r="AE23" s="97">
        <v>358</v>
      </c>
      <c r="AF23" s="97">
        <v>358</v>
      </c>
      <c r="AG23" s="97">
        <v>333</v>
      </c>
      <c r="AH23" s="97">
        <v>333</v>
      </c>
      <c r="AI23" s="97">
        <v>333</v>
      </c>
      <c r="AJ23" s="97">
        <v>333</v>
      </c>
      <c r="AK23" s="97">
        <v>333</v>
      </c>
      <c r="AL23" s="97">
        <v>333</v>
      </c>
      <c r="AM23" s="97">
        <v>333</v>
      </c>
      <c r="AN23" s="97">
        <v>333</v>
      </c>
      <c r="AO23" s="97">
        <v>333</v>
      </c>
      <c r="AP23" s="97">
        <v>333</v>
      </c>
      <c r="AQ23" s="97">
        <v>333</v>
      </c>
      <c r="AR23" s="97">
        <v>333</v>
      </c>
      <c r="AS23" s="97">
        <v>333</v>
      </c>
      <c r="AT23" s="97">
        <v>333</v>
      </c>
      <c r="AU23" s="16"/>
      <c r="AV23" s="16"/>
      <c r="AW23" s="41"/>
    </row>
    <row r="24" spans="1:49" ht="13.5" customHeight="1" x14ac:dyDescent="0.2">
      <c r="C24" s="3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</row>
    <row r="25" spans="1:49" s="5" customFormat="1" ht="0.9" customHeight="1" x14ac:dyDescent="0.2">
      <c r="C25" s="6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44"/>
      <c r="AV25" s="44"/>
      <c r="AW25" s="44"/>
    </row>
    <row r="26" spans="1:49" ht="13.5" customHeight="1" thickBot="1" x14ac:dyDescent="0.25"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</row>
    <row r="27" spans="1:49" x14ac:dyDescent="0.2">
      <c r="A27" s="4" t="s">
        <v>9</v>
      </c>
      <c r="B27" t="s">
        <v>7</v>
      </c>
      <c r="C27" s="17">
        <f>$C$1</f>
        <v>46174</v>
      </c>
      <c r="D27" s="93" t="s">
        <v>46</v>
      </c>
      <c r="E27" s="84" t="s">
        <v>41</v>
      </c>
      <c r="F27" s="84" t="s">
        <v>37</v>
      </c>
      <c r="G27" s="84" t="s">
        <v>47</v>
      </c>
      <c r="H27" s="85" t="s">
        <v>27</v>
      </c>
      <c r="I27" s="84" t="s">
        <v>42</v>
      </c>
      <c r="J27" s="84" t="s">
        <v>24</v>
      </c>
      <c r="K27" s="84" t="s">
        <v>38</v>
      </c>
      <c r="L27" s="84" t="s">
        <v>31</v>
      </c>
      <c r="M27" s="84" t="s">
        <v>28</v>
      </c>
      <c r="N27" s="84" t="s">
        <v>43</v>
      </c>
      <c r="O27" s="84" t="s">
        <v>25</v>
      </c>
      <c r="P27" s="84" t="s">
        <v>39</v>
      </c>
      <c r="Q27" s="84" t="s">
        <v>32</v>
      </c>
      <c r="R27" s="84" t="s">
        <v>29</v>
      </c>
      <c r="S27" s="84" t="s">
        <v>44</v>
      </c>
      <c r="T27" s="84" t="s">
        <v>26</v>
      </c>
      <c r="U27" s="84" t="s">
        <v>40</v>
      </c>
      <c r="V27" s="84" t="s">
        <v>21</v>
      </c>
      <c r="W27" s="84" t="s">
        <v>30</v>
      </c>
      <c r="X27" s="84" t="s">
        <v>45</v>
      </c>
      <c r="Y27" s="84" t="s">
        <v>33</v>
      </c>
      <c r="Z27" s="84" t="s">
        <v>48</v>
      </c>
      <c r="AA27" s="86" t="s">
        <v>49</v>
      </c>
      <c r="AB27" s="86" t="s">
        <v>37</v>
      </c>
      <c r="AC27" s="86" t="s">
        <v>27</v>
      </c>
      <c r="AD27" s="87" t="s">
        <v>34</v>
      </c>
      <c r="AE27" s="87" t="s">
        <v>24</v>
      </c>
      <c r="AF27" s="87" t="s">
        <v>50</v>
      </c>
      <c r="AG27" s="87" t="s">
        <v>38</v>
      </c>
      <c r="AH27" s="87" t="s">
        <v>28</v>
      </c>
      <c r="AI27" s="87" t="s">
        <v>35</v>
      </c>
      <c r="AJ27" s="87" t="s">
        <v>25</v>
      </c>
      <c r="AK27" s="87" t="s">
        <v>51</v>
      </c>
      <c r="AL27" s="87" t="s">
        <v>39</v>
      </c>
      <c r="AM27" s="87" t="s">
        <v>36</v>
      </c>
      <c r="AN27" s="88" t="s">
        <v>26</v>
      </c>
      <c r="AO27" s="84" t="s">
        <v>52</v>
      </c>
      <c r="AP27" s="84" t="s">
        <v>40</v>
      </c>
      <c r="AQ27" s="84" t="s">
        <v>30</v>
      </c>
      <c r="AR27" s="84" t="s">
        <v>22</v>
      </c>
      <c r="AS27" s="84" t="s">
        <v>33</v>
      </c>
      <c r="AT27" s="84" t="s">
        <v>53</v>
      </c>
      <c r="AU27" s="35"/>
      <c r="AV27" s="36"/>
      <c r="AW27" s="37"/>
    </row>
    <row r="28" spans="1:49" s="7" customFormat="1" x14ac:dyDescent="0.2">
      <c r="C28" s="18" t="s">
        <v>18</v>
      </c>
      <c r="D28" s="94">
        <v>491775</v>
      </c>
      <c r="E28" s="89">
        <v>270517</v>
      </c>
      <c r="F28" s="89">
        <v>456220</v>
      </c>
      <c r="G28" s="89">
        <v>220460</v>
      </c>
      <c r="H28" s="89">
        <v>321816</v>
      </c>
      <c r="I28" s="89">
        <v>299999</v>
      </c>
      <c r="J28" s="89">
        <v>254628</v>
      </c>
      <c r="K28" s="89">
        <v>322134</v>
      </c>
      <c r="L28" s="89">
        <v>251441</v>
      </c>
      <c r="M28" s="89">
        <v>237117</v>
      </c>
      <c r="N28" s="89">
        <v>278341</v>
      </c>
      <c r="O28" s="89">
        <v>173358</v>
      </c>
      <c r="P28" s="89">
        <v>250917</v>
      </c>
      <c r="Q28" s="89">
        <v>207600</v>
      </c>
      <c r="R28" s="89">
        <v>301502</v>
      </c>
      <c r="S28" s="89">
        <v>237496</v>
      </c>
      <c r="T28" s="89">
        <v>170737</v>
      </c>
      <c r="U28" s="89">
        <v>225880</v>
      </c>
      <c r="V28" s="89">
        <v>148955</v>
      </c>
      <c r="W28" s="89">
        <v>197968</v>
      </c>
      <c r="X28" s="89">
        <v>149486</v>
      </c>
      <c r="Y28" s="89">
        <v>154533</v>
      </c>
      <c r="Z28" s="89">
        <v>171199</v>
      </c>
      <c r="AA28" s="89">
        <v>122874</v>
      </c>
      <c r="AB28" s="89">
        <v>111675</v>
      </c>
      <c r="AC28" s="89">
        <v>151528</v>
      </c>
      <c r="AD28" s="89">
        <v>97048</v>
      </c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38"/>
      <c r="AV28" s="38"/>
      <c r="AW28" s="39"/>
    </row>
    <row r="29" spans="1:49" s="7" customFormat="1" x14ac:dyDescent="0.2">
      <c r="C29" s="18" t="s">
        <v>3</v>
      </c>
      <c r="D29" s="95">
        <v>491.77499999999998</v>
      </c>
      <c r="E29" s="90">
        <v>270.517</v>
      </c>
      <c r="F29" s="90">
        <v>456.22</v>
      </c>
      <c r="G29" s="90">
        <v>220.46</v>
      </c>
      <c r="H29" s="90">
        <v>321.81599999999997</v>
      </c>
      <c r="I29" s="90">
        <v>299.99900000000002</v>
      </c>
      <c r="J29" s="90">
        <v>254.62799999999999</v>
      </c>
      <c r="K29" s="90">
        <v>322.13400000000001</v>
      </c>
      <c r="L29" s="90">
        <v>251.441</v>
      </c>
      <c r="M29" s="90">
        <v>237.11699999999999</v>
      </c>
      <c r="N29" s="90">
        <v>278.34100000000001</v>
      </c>
      <c r="O29" s="90">
        <v>173.358</v>
      </c>
      <c r="P29" s="90">
        <v>250.917</v>
      </c>
      <c r="Q29" s="90">
        <v>207.6</v>
      </c>
      <c r="R29" s="90">
        <v>301.50200000000001</v>
      </c>
      <c r="S29" s="90">
        <v>237.49600000000001</v>
      </c>
      <c r="T29" s="90">
        <v>170.73699999999999</v>
      </c>
      <c r="U29" s="90">
        <v>225.88</v>
      </c>
      <c r="V29" s="90">
        <v>148.95500000000001</v>
      </c>
      <c r="W29" s="90">
        <v>197.96799999999999</v>
      </c>
      <c r="X29" s="90">
        <v>149.48599999999999</v>
      </c>
      <c r="Y29" s="90">
        <v>154.53299999999999</v>
      </c>
      <c r="Z29" s="90">
        <v>171.19900000000001</v>
      </c>
      <c r="AA29" s="90">
        <v>122.874</v>
      </c>
      <c r="AB29" s="90">
        <v>111.675</v>
      </c>
      <c r="AC29" s="90">
        <v>151.52799999999999</v>
      </c>
      <c r="AD29" s="90">
        <v>97.048000000000002</v>
      </c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38"/>
      <c r="AV29" s="38"/>
      <c r="AW29" s="39"/>
    </row>
    <row r="30" spans="1:49" x14ac:dyDescent="0.2">
      <c r="C30" s="19" t="s">
        <v>19</v>
      </c>
      <c r="D30" s="96">
        <v>145</v>
      </c>
      <c r="E30" s="92">
        <v>143</v>
      </c>
      <c r="F30" s="92">
        <v>145</v>
      </c>
      <c r="G30" s="92">
        <v>151</v>
      </c>
      <c r="H30" s="92">
        <v>146</v>
      </c>
      <c r="I30" s="92">
        <v>154</v>
      </c>
      <c r="J30" s="92">
        <v>163</v>
      </c>
      <c r="K30" s="92">
        <v>170</v>
      </c>
      <c r="L30" s="92">
        <v>175</v>
      </c>
      <c r="M30" s="92">
        <v>191</v>
      </c>
      <c r="N30" s="92">
        <v>178</v>
      </c>
      <c r="O30" s="92">
        <v>192</v>
      </c>
      <c r="P30" s="92">
        <v>201</v>
      </c>
      <c r="Q30" s="92">
        <v>191</v>
      </c>
      <c r="R30" s="92">
        <v>200</v>
      </c>
      <c r="S30" s="92">
        <v>204</v>
      </c>
      <c r="T30" s="92">
        <v>190</v>
      </c>
      <c r="U30" s="92">
        <v>203</v>
      </c>
      <c r="V30" s="92">
        <v>235</v>
      </c>
      <c r="W30" s="92">
        <v>233</v>
      </c>
      <c r="X30" s="92">
        <v>212</v>
      </c>
      <c r="Y30" s="92">
        <v>217</v>
      </c>
      <c r="Z30" s="92">
        <v>219</v>
      </c>
      <c r="AA30" s="92">
        <v>234</v>
      </c>
      <c r="AB30" s="92">
        <v>229</v>
      </c>
      <c r="AC30" s="92">
        <v>244</v>
      </c>
      <c r="AD30" s="92">
        <v>237</v>
      </c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38"/>
      <c r="AV30" s="38"/>
      <c r="AW30" s="39"/>
    </row>
    <row r="31" spans="1:49" ht="13.8" thickBot="1" x14ac:dyDescent="0.25">
      <c r="C31" s="20" t="s">
        <v>17</v>
      </c>
      <c r="D31" s="97">
        <v>201</v>
      </c>
      <c r="E31" s="97">
        <v>201</v>
      </c>
      <c r="F31" s="97">
        <v>201</v>
      </c>
      <c r="G31" s="97">
        <v>201</v>
      </c>
      <c r="H31" s="97">
        <v>201</v>
      </c>
      <c r="I31" s="97">
        <v>201</v>
      </c>
      <c r="J31" s="97">
        <v>201</v>
      </c>
      <c r="K31" s="97">
        <v>182</v>
      </c>
      <c r="L31" s="97">
        <v>182</v>
      </c>
      <c r="M31" s="97">
        <v>182</v>
      </c>
      <c r="N31" s="97">
        <v>182</v>
      </c>
      <c r="O31" s="97">
        <v>182</v>
      </c>
      <c r="P31" s="97">
        <v>182</v>
      </c>
      <c r="Q31" s="97">
        <v>182</v>
      </c>
      <c r="R31" s="97">
        <v>182</v>
      </c>
      <c r="S31" s="97">
        <v>160</v>
      </c>
      <c r="T31" s="97">
        <v>160</v>
      </c>
      <c r="U31" s="97">
        <v>160</v>
      </c>
      <c r="V31" s="97">
        <v>160</v>
      </c>
      <c r="W31" s="97">
        <v>160</v>
      </c>
      <c r="X31" s="97">
        <v>160</v>
      </c>
      <c r="Y31" s="97">
        <v>160</v>
      </c>
      <c r="Z31" s="97">
        <v>156</v>
      </c>
      <c r="AA31" s="97">
        <v>156</v>
      </c>
      <c r="AB31" s="97">
        <v>156</v>
      </c>
      <c r="AC31" s="97">
        <v>156</v>
      </c>
      <c r="AD31" s="97">
        <v>156</v>
      </c>
      <c r="AE31" s="97">
        <v>156</v>
      </c>
      <c r="AF31" s="97">
        <v>156</v>
      </c>
      <c r="AG31" s="97">
        <v>157</v>
      </c>
      <c r="AH31" s="97">
        <v>157</v>
      </c>
      <c r="AI31" s="97">
        <v>157</v>
      </c>
      <c r="AJ31" s="97">
        <v>157</v>
      </c>
      <c r="AK31" s="97">
        <v>157</v>
      </c>
      <c r="AL31" s="97">
        <v>157</v>
      </c>
      <c r="AM31" s="97">
        <v>157</v>
      </c>
      <c r="AN31" s="97">
        <v>157</v>
      </c>
      <c r="AO31" s="97">
        <v>157</v>
      </c>
      <c r="AP31" s="97">
        <v>157</v>
      </c>
      <c r="AQ31" s="97">
        <v>157</v>
      </c>
      <c r="AR31" s="97">
        <v>157</v>
      </c>
      <c r="AS31" s="97">
        <v>157</v>
      </c>
      <c r="AT31" s="97">
        <v>157</v>
      </c>
      <c r="AU31" s="16"/>
      <c r="AV31" s="16"/>
      <c r="AW31" s="41"/>
    </row>
    <row r="32" spans="1:49" ht="13.8" thickBot="1" x14ac:dyDescent="0.25"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</row>
    <row r="33" spans="1:49" x14ac:dyDescent="0.2">
      <c r="A33" t="s">
        <v>9</v>
      </c>
      <c r="B33" t="s">
        <v>6</v>
      </c>
      <c r="C33" s="21">
        <f>$C$1</f>
        <v>46174</v>
      </c>
      <c r="D33" s="93" t="s">
        <v>46</v>
      </c>
      <c r="E33" s="84" t="s">
        <v>41</v>
      </c>
      <c r="F33" s="84" t="s">
        <v>37</v>
      </c>
      <c r="G33" s="84" t="s">
        <v>47</v>
      </c>
      <c r="H33" s="85" t="s">
        <v>27</v>
      </c>
      <c r="I33" s="84" t="s">
        <v>42</v>
      </c>
      <c r="J33" s="84" t="s">
        <v>24</v>
      </c>
      <c r="K33" s="84" t="s">
        <v>38</v>
      </c>
      <c r="L33" s="84" t="s">
        <v>31</v>
      </c>
      <c r="M33" s="84" t="s">
        <v>28</v>
      </c>
      <c r="N33" s="84" t="s">
        <v>43</v>
      </c>
      <c r="O33" s="84" t="s">
        <v>25</v>
      </c>
      <c r="P33" s="84" t="s">
        <v>39</v>
      </c>
      <c r="Q33" s="84" t="s">
        <v>32</v>
      </c>
      <c r="R33" s="84" t="s">
        <v>29</v>
      </c>
      <c r="S33" s="84" t="s">
        <v>44</v>
      </c>
      <c r="T33" s="84" t="s">
        <v>26</v>
      </c>
      <c r="U33" s="84" t="s">
        <v>40</v>
      </c>
      <c r="V33" s="84" t="s">
        <v>21</v>
      </c>
      <c r="W33" s="84" t="s">
        <v>30</v>
      </c>
      <c r="X33" s="84" t="s">
        <v>45</v>
      </c>
      <c r="Y33" s="84" t="s">
        <v>33</v>
      </c>
      <c r="Z33" s="84" t="s">
        <v>48</v>
      </c>
      <c r="AA33" s="86" t="s">
        <v>49</v>
      </c>
      <c r="AB33" s="86" t="s">
        <v>37</v>
      </c>
      <c r="AC33" s="86" t="s">
        <v>27</v>
      </c>
      <c r="AD33" s="87" t="s">
        <v>34</v>
      </c>
      <c r="AE33" s="87" t="s">
        <v>24</v>
      </c>
      <c r="AF33" s="87" t="s">
        <v>50</v>
      </c>
      <c r="AG33" s="87" t="s">
        <v>38</v>
      </c>
      <c r="AH33" s="87" t="s">
        <v>28</v>
      </c>
      <c r="AI33" s="87" t="s">
        <v>35</v>
      </c>
      <c r="AJ33" s="87" t="s">
        <v>25</v>
      </c>
      <c r="AK33" s="87" t="s">
        <v>51</v>
      </c>
      <c r="AL33" s="87" t="s">
        <v>39</v>
      </c>
      <c r="AM33" s="87" t="s">
        <v>36</v>
      </c>
      <c r="AN33" s="88" t="s">
        <v>26</v>
      </c>
      <c r="AO33" s="84" t="s">
        <v>52</v>
      </c>
      <c r="AP33" s="84" t="s">
        <v>40</v>
      </c>
      <c r="AQ33" s="84" t="s">
        <v>30</v>
      </c>
      <c r="AR33" s="84" t="s">
        <v>22</v>
      </c>
      <c r="AS33" s="84" t="s">
        <v>33</v>
      </c>
      <c r="AT33" s="84" t="s">
        <v>53</v>
      </c>
      <c r="AU33" s="35"/>
      <c r="AV33" s="36"/>
      <c r="AW33" s="37"/>
    </row>
    <row r="34" spans="1:49" s="7" customFormat="1" x14ac:dyDescent="0.2">
      <c r="C34" s="18" t="s">
        <v>18</v>
      </c>
      <c r="D34" s="94">
        <v>142582</v>
      </c>
      <c r="E34" s="89">
        <v>123860</v>
      </c>
      <c r="F34" s="89">
        <v>117439</v>
      </c>
      <c r="G34" s="89">
        <v>120445</v>
      </c>
      <c r="H34" s="89">
        <v>118635</v>
      </c>
      <c r="I34" s="89">
        <v>75269</v>
      </c>
      <c r="J34" s="89">
        <v>153147</v>
      </c>
      <c r="K34" s="89">
        <v>116796</v>
      </c>
      <c r="L34" s="89">
        <v>57560</v>
      </c>
      <c r="M34" s="89">
        <v>104698</v>
      </c>
      <c r="N34" s="89">
        <v>122138</v>
      </c>
      <c r="O34" s="89">
        <v>93710</v>
      </c>
      <c r="P34" s="89">
        <v>94633</v>
      </c>
      <c r="Q34" s="89">
        <v>78297</v>
      </c>
      <c r="R34" s="89">
        <v>71607</v>
      </c>
      <c r="S34" s="89">
        <v>68566</v>
      </c>
      <c r="T34" s="89">
        <v>58582</v>
      </c>
      <c r="U34" s="89">
        <v>85366</v>
      </c>
      <c r="V34" s="89">
        <v>76415</v>
      </c>
      <c r="W34" s="89">
        <v>46720</v>
      </c>
      <c r="X34" s="89">
        <v>47287</v>
      </c>
      <c r="Y34" s="89">
        <v>55399</v>
      </c>
      <c r="Z34" s="89">
        <v>67367</v>
      </c>
      <c r="AA34" s="89">
        <v>33840</v>
      </c>
      <c r="AB34" s="89">
        <v>65493</v>
      </c>
      <c r="AC34" s="89">
        <v>64337</v>
      </c>
      <c r="AD34" s="89">
        <v>32938</v>
      </c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38"/>
      <c r="AV34" s="38"/>
      <c r="AW34" s="39"/>
    </row>
    <row r="35" spans="1:49" s="7" customFormat="1" x14ac:dyDescent="0.2">
      <c r="C35" s="18" t="s">
        <v>3</v>
      </c>
      <c r="D35" s="95">
        <v>142.58199999999999</v>
      </c>
      <c r="E35" s="90">
        <v>123.86</v>
      </c>
      <c r="F35" s="90">
        <v>117.43899999999999</v>
      </c>
      <c r="G35" s="90">
        <v>120.44499999999999</v>
      </c>
      <c r="H35" s="90">
        <v>118.63500000000001</v>
      </c>
      <c r="I35" s="90">
        <v>75.269000000000005</v>
      </c>
      <c r="J35" s="90">
        <v>153.14699999999999</v>
      </c>
      <c r="K35" s="90">
        <v>116.79600000000001</v>
      </c>
      <c r="L35" s="90">
        <v>57.56</v>
      </c>
      <c r="M35" s="90">
        <v>104.69799999999999</v>
      </c>
      <c r="N35" s="90">
        <v>122.13800000000001</v>
      </c>
      <c r="O35" s="90">
        <v>93.71</v>
      </c>
      <c r="P35" s="90">
        <v>94.632999999999996</v>
      </c>
      <c r="Q35" s="90">
        <v>78.296999999999997</v>
      </c>
      <c r="R35" s="90">
        <v>71.606999999999999</v>
      </c>
      <c r="S35" s="90">
        <v>68.566000000000003</v>
      </c>
      <c r="T35" s="90">
        <v>58.582000000000001</v>
      </c>
      <c r="U35" s="90">
        <v>85.366</v>
      </c>
      <c r="V35" s="90">
        <v>76.415000000000006</v>
      </c>
      <c r="W35" s="90">
        <v>46.72</v>
      </c>
      <c r="X35" s="90">
        <v>47.286999999999999</v>
      </c>
      <c r="Y35" s="90">
        <v>55.399000000000001</v>
      </c>
      <c r="Z35" s="90">
        <v>67.367000000000004</v>
      </c>
      <c r="AA35" s="90">
        <v>33.840000000000003</v>
      </c>
      <c r="AB35" s="90">
        <v>65.492999999999995</v>
      </c>
      <c r="AC35" s="90">
        <v>64.337000000000003</v>
      </c>
      <c r="AD35" s="90">
        <v>32.938000000000002</v>
      </c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38"/>
      <c r="AV35" s="38"/>
      <c r="AW35" s="39"/>
    </row>
    <row r="36" spans="1:49" x14ac:dyDescent="0.2">
      <c r="C36" s="19" t="s">
        <v>19</v>
      </c>
      <c r="D36" s="96">
        <v>145</v>
      </c>
      <c r="E36" s="92">
        <v>154</v>
      </c>
      <c r="F36" s="92">
        <v>156</v>
      </c>
      <c r="G36" s="92">
        <v>153</v>
      </c>
      <c r="H36" s="92">
        <v>170</v>
      </c>
      <c r="I36" s="92">
        <v>168</v>
      </c>
      <c r="J36" s="92">
        <v>164</v>
      </c>
      <c r="K36" s="92">
        <v>155</v>
      </c>
      <c r="L36" s="92">
        <v>168</v>
      </c>
      <c r="M36" s="92">
        <v>175</v>
      </c>
      <c r="N36" s="92">
        <v>205</v>
      </c>
      <c r="O36" s="92">
        <v>198</v>
      </c>
      <c r="P36" s="92">
        <v>206</v>
      </c>
      <c r="Q36" s="92">
        <v>200</v>
      </c>
      <c r="R36" s="92">
        <v>212</v>
      </c>
      <c r="S36" s="92">
        <v>207</v>
      </c>
      <c r="T36" s="92">
        <v>230</v>
      </c>
      <c r="U36" s="92">
        <v>232</v>
      </c>
      <c r="V36" s="92">
        <v>230</v>
      </c>
      <c r="W36" s="92">
        <v>239</v>
      </c>
      <c r="X36" s="92">
        <v>249</v>
      </c>
      <c r="Y36" s="92">
        <v>260</v>
      </c>
      <c r="Z36" s="92">
        <v>248</v>
      </c>
      <c r="AA36" s="92">
        <v>254</v>
      </c>
      <c r="AB36" s="92">
        <v>256</v>
      </c>
      <c r="AC36" s="92">
        <v>274</v>
      </c>
      <c r="AD36" s="92">
        <v>291</v>
      </c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38"/>
      <c r="AV36" s="38"/>
      <c r="AW36" s="39"/>
    </row>
    <row r="37" spans="1:49" ht="13.8" thickBot="1" x14ac:dyDescent="0.25">
      <c r="C37" s="20" t="s">
        <v>17</v>
      </c>
      <c r="D37" s="97">
        <v>201</v>
      </c>
      <c r="E37" s="97">
        <v>201</v>
      </c>
      <c r="F37" s="97">
        <v>201</v>
      </c>
      <c r="G37" s="97">
        <v>201</v>
      </c>
      <c r="H37" s="97">
        <v>201</v>
      </c>
      <c r="I37" s="97">
        <v>201</v>
      </c>
      <c r="J37" s="97">
        <v>201</v>
      </c>
      <c r="K37" s="97">
        <v>178</v>
      </c>
      <c r="L37" s="97">
        <v>178</v>
      </c>
      <c r="M37" s="97">
        <v>178</v>
      </c>
      <c r="N37" s="97">
        <v>178</v>
      </c>
      <c r="O37" s="97">
        <v>178</v>
      </c>
      <c r="P37" s="97">
        <v>178</v>
      </c>
      <c r="Q37" s="97">
        <v>178</v>
      </c>
      <c r="R37" s="97">
        <v>178</v>
      </c>
      <c r="S37" s="97">
        <v>151</v>
      </c>
      <c r="T37" s="97">
        <v>151</v>
      </c>
      <c r="U37" s="97">
        <v>151</v>
      </c>
      <c r="V37" s="97">
        <v>151</v>
      </c>
      <c r="W37" s="97">
        <v>151</v>
      </c>
      <c r="X37" s="97">
        <v>151</v>
      </c>
      <c r="Y37" s="97">
        <v>151</v>
      </c>
      <c r="Z37" s="97">
        <v>160</v>
      </c>
      <c r="AA37" s="97">
        <v>160</v>
      </c>
      <c r="AB37" s="97">
        <v>160</v>
      </c>
      <c r="AC37" s="97">
        <v>160</v>
      </c>
      <c r="AD37" s="97">
        <v>160</v>
      </c>
      <c r="AE37" s="97">
        <v>160</v>
      </c>
      <c r="AF37" s="97">
        <v>160</v>
      </c>
      <c r="AG37" s="97">
        <v>176</v>
      </c>
      <c r="AH37" s="97">
        <v>176</v>
      </c>
      <c r="AI37" s="97">
        <v>176</v>
      </c>
      <c r="AJ37" s="97">
        <v>176</v>
      </c>
      <c r="AK37" s="97">
        <v>176</v>
      </c>
      <c r="AL37" s="97">
        <v>176</v>
      </c>
      <c r="AM37" s="97">
        <v>193</v>
      </c>
      <c r="AN37" s="97">
        <v>193</v>
      </c>
      <c r="AO37" s="97">
        <v>193</v>
      </c>
      <c r="AP37" s="97">
        <v>193</v>
      </c>
      <c r="AQ37" s="97">
        <v>193</v>
      </c>
      <c r="AR37" s="97">
        <v>193</v>
      </c>
      <c r="AS37" s="97">
        <v>193</v>
      </c>
      <c r="AT37" s="97">
        <v>193</v>
      </c>
      <c r="AU37" s="16"/>
      <c r="AV37" s="16"/>
      <c r="AW37" s="41"/>
    </row>
    <row r="38" spans="1:49" ht="13.8" thickBot="1" x14ac:dyDescent="0.25"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</row>
    <row r="39" spans="1:49" x14ac:dyDescent="0.2">
      <c r="A39" t="s">
        <v>9</v>
      </c>
      <c r="B39" t="s">
        <v>5</v>
      </c>
      <c r="C39" s="21">
        <f>$C$1</f>
        <v>46174</v>
      </c>
      <c r="D39" s="93" t="s">
        <v>46</v>
      </c>
      <c r="E39" s="84" t="s">
        <v>41</v>
      </c>
      <c r="F39" s="84" t="s">
        <v>37</v>
      </c>
      <c r="G39" s="84" t="s">
        <v>47</v>
      </c>
      <c r="H39" s="85" t="s">
        <v>27</v>
      </c>
      <c r="I39" s="84" t="s">
        <v>42</v>
      </c>
      <c r="J39" s="84" t="s">
        <v>24</v>
      </c>
      <c r="K39" s="84" t="s">
        <v>38</v>
      </c>
      <c r="L39" s="84" t="s">
        <v>31</v>
      </c>
      <c r="M39" s="84" t="s">
        <v>28</v>
      </c>
      <c r="N39" s="84" t="s">
        <v>43</v>
      </c>
      <c r="O39" s="84" t="s">
        <v>25</v>
      </c>
      <c r="P39" s="84" t="s">
        <v>39</v>
      </c>
      <c r="Q39" s="84" t="s">
        <v>32</v>
      </c>
      <c r="R39" s="84" t="s">
        <v>29</v>
      </c>
      <c r="S39" s="84" t="s">
        <v>44</v>
      </c>
      <c r="T39" s="84" t="s">
        <v>26</v>
      </c>
      <c r="U39" s="84" t="s">
        <v>40</v>
      </c>
      <c r="V39" s="84" t="s">
        <v>21</v>
      </c>
      <c r="W39" s="84" t="s">
        <v>30</v>
      </c>
      <c r="X39" s="84" t="s">
        <v>45</v>
      </c>
      <c r="Y39" s="84" t="s">
        <v>33</v>
      </c>
      <c r="Z39" s="84" t="s">
        <v>48</v>
      </c>
      <c r="AA39" s="86" t="s">
        <v>49</v>
      </c>
      <c r="AB39" s="86" t="s">
        <v>37</v>
      </c>
      <c r="AC39" s="86" t="s">
        <v>27</v>
      </c>
      <c r="AD39" s="87" t="s">
        <v>34</v>
      </c>
      <c r="AE39" s="87" t="s">
        <v>24</v>
      </c>
      <c r="AF39" s="87" t="s">
        <v>50</v>
      </c>
      <c r="AG39" s="87" t="s">
        <v>38</v>
      </c>
      <c r="AH39" s="87" t="s">
        <v>28</v>
      </c>
      <c r="AI39" s="87" t="s">
        <v>35</v>
      </c>
      <c r="AJ39" s="87" t="s">
        <v>25</v>
      </c>
      <c r="AK39" s="87" t="s">
        <v>51</v>
      </c>
      <c r="AL39" s="87" t="s">
        <v>39</v>
      </c>
      <c r="AM39" s="87" t="s">
        <v>36</v>
      </c>
      <c r="AN39" s="88" t="s">
        <v>26</v>
      </c>
      <c r="AO39" s="84" t="s">
        <v>52</v>
      </c>
      <c r="AP39" s="84" t="s">
        <v>40</v>
      </c>
      <c r="AQ39" s="84" t="s">
        <v>30</v>
      </c>
      <c r="AR39" s="84" t="s">
        <v>22</v>
      </c>
      <c r="AS39" s="84" t="s">
        <v>33</v>
      </c>
      <c r="AT39" s="84" t="s">
        <v>53</v>
      </c>
      <c r="AU39" s="35"/>
      <c r="AV39" s="36"/>
      <c r="AW39" s="37"/>
    </row>
    <row r="40" spans="1:49" s="7" customFormat="1" x14ac:dyDescent="0.2">
      <c r="C40" s="18" t="s">
        <v>18</v>
      </c>
      <c r="D40" s="94">
        <v>206750</v>
      </c>
      <c r="E40" s="89">
        <v>88459</v>
      </c>
      <c r="F40" s="89">
        <v>152509</v>
      </c>
      <c r="G40" s="89">
        <v>94290</v>
      </c>
      <c r="H40" s="89">
        <v>129739</v>
      </c>
      <c r="I40" s="89">
        <v>133288</v>
      </c>
      <c r="J40" s="89">
        <v>71220</v>
      </c>
      <c r="K40" s="89">
        <v>127545</v>
      </c>
      <c r="L40" s="89">
        <v>92110</v>
      </c>
      <c r="M40" s="89">
        <v>89200</v>
      </c>
      <c r="N40" s="89">
        <v>112400</v>
      </c>
      <c r="O40" s="89">
        <v>106690</v>
      </c>
      <c r="P40" s="89">
        <v>155978</v>
      </c>
      <c r="Q40" s="89">
        <v>99750</v>
      </c>
      <c r="R40" s="89">
        <v>89000</v>
      </c>
      <c r="S40" s="89">
        <v>96150</v>
      </c>
      <c r="T40" s="89">
        <v>65340</v>
      </c>
      <c r="U40" s="89">
        <v>68735</v>
      </c>
      <c r="V40" s="89">
        <v>61380</v>
      </c>
      <c r="W40" s="89">
        <v>57660</v>
      </c>
      <c r="X40" s="89">
        <v>91705</v>
      </c>
      <c r="Y40" s="89">
        <v>40830</v>
      </c>
      <c r="Z40" s="89">
        <v>64905</v>
      </c>
      <c r="AA40" s="89">
        <v>21970</v>
      </c>
      <c r="AB40" s="89">
        <v>44950</v>
      </c>
      <c r="AC40" s="89">
        <v>75215</v>
      </c>
      <c r="AD40" s="89">
        <v>39130</v>
      </c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38"/>
      <c r="AV40" s="38"/>
      <c r="AW40" s="39"/>
    </row>
    <row r="41" spans="1:49" s="7" customFormat="1" x14ac:dyDescent="0.2">
      <c r="C41" s="18" t="s">
        <v>3</v>
      </c>
      <c r="D41" s="95">
        <v>206.75</v>
      </c>
      <c r="E41" s="90">
        <v>88.459000000000003</v>
      </c>
      <c r="F41" s="90">
        <v>152.50899999999999</v>
      </c>
      <c r="G41" s="90">
        <v>94.29</v>
      </c>
      <c r="H41" s="90">
        <v>129.739</v>
      </c>
      <c r="I41" s="90">
        <v>133.28800000000001</v>
      </c>
      <c r="J41" s="90">
        <v>71.22</v>
      </c>
      <c r="K41" s="90">
        <v>127.545</v>
      </c>
      <c r="L41" s="90">
        <v>92.11</v>
      </c>
      <c r="M41" s="90">
        <v>89.2</v>
      </c>
      <c r="N41" s="90">
        <v>112.4</v>
      </c>
      <c r="O41" s="90">
        <v>106.69</v>
      </c>
      <c r="P41" s="90">
        <v>155.97800000000001</v>
      </c>
      <c r="Q41" s="90">
        <v>99.75</v>
      </c>
      <c r="R41" s="90">
        <v>89</v>
      </c>
      <c r="S41" s="90">
        <v>96.15</v>
      </c>
      <c r="T41" s="90">
        <v>65.34</v>
      </c>
      <c r="U41" s="90">
        <v>68.734999999999999</v>
      </c>
      <c r="V41" s="90">
        <v>61.38</v>
      </c>
      <c r="W41" s="90">
        <v>57.66</v>
      </c>
      <c r="X41" s="90">
        <v>91.704999999999998</v>
      </c>
      <c r="Y41" s="90">
        <v>40.83</v>
      </c>
      <c r="Z41" s="90">
        <v>64.905000000000001</v>
      </c>
      <c r="AA41" s="90">
        <v>21.97</v>
      </c>
      <c r="AB41" s="90">
        <v>44.95</v>
      </c>
      <c r="AC41" s="90">
        <v>75.215000000000003</v>
      </c>
      <c r="AD41" s="90">
        <v>39.130000000000003</v>
      </c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38"/>
      <c r="AV41" s="38"/>
      <c r="AW41" s="39"/>
    </row>
    <row r="42" spans="1:49" x14ac:dyDescent="0.2">
      <c r="C42" s="19" t="s">
        <v>19</v>
      </c>
      <c r="D42" s="96">
        <v>128</v>
      </c>
      <c r="E42" s="92">
        <v>132</v>
      </c>
      <c r="F42" s="92">
        <v>141</v>
      </c>
      <c r="G42" s="92">
        <v>137</v>
      </c>
      <c r="H42" s="92">
        <v>143</v>
      </c>
      <c r="I42" s="92">
        <v>149</v>
      </c>
      <c r="J42" s="92">
        <v>159</v>
      </c>
      <c r="K42" s="92">
        <v>163</v>
      </c>
      <c r="L42" s="92">
        <v>170</v>
      </c>
      <c r="M42" s="92">
        <v>181</v>
      </c>
      <c r="N42" s="92">
        <v>202</v>
      </c>
      <c r="O42" s="92">
        <v>215</v>
      </c>
      <c r="P42" s="92">
        <v>207</v>
      </c>
      <c r="Q42" s="92">
        <v>205</v>
      </c>
      <c r="R42" s="92">
        <v>213</v>
      </c>
      <c r="S42" s="92">
        <v>203</v>
      </c>
      <c r="T42" s="92">
        <v>220</v>
      </c>
      <c r="U42" s="92">
        <v>213</v>
      </c>
      <c r="V42" s="92">
        <v>204</v>
      </c>
      <c r="W42" s="92">
        <v>220</v>
      </c>
      <c r="X42" s="92">
        <v>222</v>
      </c>
      <c r="Y42" s="92">
        <v>241</v>
      </c>
      <c r="Z42" s="92">
        <v>232</v>
      </c>
      <c r="AA42" s="92">
        <v>266</v>
      </c>
      <c r="AB42" s="92">
        <v>248</v>
      </c>
      <c r="AC42" s="92">
        <v>283</v>
      </c>
      <c r="AD42" s="92">
        <v>331</v>
      </c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38"/>
      <c r="AV42" s="38"/>
      <c r="AW42" s="39"/>
    </row>
    <row r="43" spans="1:49" ht="13.8" thickBot="1" x14ac:dyDescent="0.25">
      <c r="C43" s="20" t="s">
        <v>17</v>
      </c>
      <c r="D43" s="97">
        <v>167</v>
      </c>
      <c r="E43" s="97">
        <v>167</v>
      </c>
      <c r="F43" s="97">
        <v>167</v>
      </c>
      <c r="G43" s="97">
        <v>167</v>
      </c>
      <c r="H43" s="97">
        <v>167</v>
      </c>
      <c r="I43" s="97">
        <v>167</v>
      </c>
      <c r="J43" s="97">
        <v>167</v>
      </c>
      <c r="K43" s="97">
        <v>153</v>
      </c>
      <c r="L43" s="97">
        <v>153</v>
      </c>
      <c r="M43" s="97">
        <v>153</v>
      </c>
      <c r="N43" s="97">
        <v>153</v>
      </c>
      <c r="O43" s="97">
        <v>153</v>
      </c>
      <c r="P43" s="97">
        <v>153</v>
      </c>
      <c r="Q43" s="97">
        <v>153</v>
      </c>
      <c r="R43" s="97">
        <v>153</v>
      </c>
      <c r="S43" s="97">
        <v>141</v>
      </c>
      <c r="T43" s="97">
        <v>141</v>
      </c>
      <c r="U43" s="97">
        <v>141</v>
      </c>
      <c r="V43" s="97">
        <v>141</v>
      </c>
      <c r="W43" s="97">
        <v>141</v>
      </c>
      <c r="X43" s="97">
        <v>141</v>
      </c>
      <c r="Y43" s="97">
        <v>141</v>
      </c>
      <c r="Z43" s="97">
        <v>134</v>
      </c>
      <c r="AA43" s="97">
        <v>134</v>
      </c>
      <c r="AB43" s="97">
        <v>134</v>
      </c>
      <c r="AC43" s="97">
        <v>134</v>
      </c>
      <c r="AD43" s="97">
        <v>134</v>
      </c>
      <c r="AE43" s="97">
        <v>134</v>
      </c>
      <c r="AF43" s="97">
        <v>134</v>
      </c>
      <c r="AG43" s="97">
        <v>157</v>
      </c>
      <c r="AH43" s="97">
        <v>157</v>
      </c>
      <c r="AI43" s="97">
        <v>157</v>
      </c>
      <c r="AJ43" s="97">
        <v>157</v>
      </c>
      <c r="AK43" s="97">
        <v>157</v>
      </c>
      <c r="AL43" s="97">
        <v>157</v>
      </c>
      <c r="AM43" s="97">
        <v>164</v>
      </c>
      <c r="AN43" s="97">
        <v>164</v>
      </c>
      <c r="AO43" s="97">
        <v>164</v>
      </c>
      <c r="AP43" s="97">
        <v>164</v>
      </c>
      <c r="AQ43" s="97">
        <v>164</v>
      </c>
      <c r="AR43" s="97">
        <v>164</v>
      </c>
      <c r="AS43" s="97">
        <v>164</v>
      </c>
      <c r="AT43" s="97">
        <v>164</v>
      </c>
      <c r="AU43" s="40"/>
      <c r="AV43" s="40"/>
      <c r="AW43" s="41"/>
    </row>
    <row r="44" spans="1:49" ht="13.8" thickBot="1" x14ac:dyDescent="0.25"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</row>
    <row r="45" spans="1:49" x14ac:dyDescent="0.2">
      <c r="A45" t="s">
        <v>9</v>
      </c>
      <c r="B45" t="s">
        <v>4</v>
      </c>
      <c r="C45" s="21">
        <f>$C$1</f>
        <v>46174</v>
      </c>
      <c r="D45" s="93" t="s">
        <v>46</v>
      </c>
      <c r="E45" s="84" t="s">
        <v>41</v>
      </c>
      <c r="F45" s="84" t="s">
        <v>37</v>
      </c>
      <c r="G45" s="84" t="s">
        <v>47</v>
      </c>
      <c r="H45" s="85" t="s">
        <v>27</v>
      </c>
      <c r="I45" s="84" t="s">
        <v>42</v>
      </c>
      <c r="J45" s="84" t="s">
        <v>24</v>
      </c>
      <c r="K45" s="84" t="s">
        <v>38</v>
      </c>
      <c r="L45" s="84" t="s">
        <v>31</v>
      </c>
      <c r="M45" s="84" t="s">
        <v>28</v>
      </c>
      <c r="N45" s="84" t="s">
        <v>43</v>
      </c>
      <c r="O45" s="84" t="s">
        <v>25</v>
      </c>
      <c r="P45" s="84" t="s">
        <v>39</v>
      </c>
      <c r="Q45" s="84" t="s">
        <v>32</v>
      </c>
      <c r="R45" s="84" t="s">
        <v>29</v>
      </c>
      <c r="S45" s="84" t="s">
        <v>44</v>
      </c>
      <c r="T45" s="84" t="s">
        <v>26</v>
      </c>
      <c r="U45" s="84" t="s">
        <v>40</v>
      </c>
      <c r="V45" s="84" t="s">
        <v>21</v>
      </c>
      <c r="W45" s="84" t="s">
        <v>30</v>
      </c>
      <c r="X45" s="84" t="s">
        <v>45</v>
      </c>
      <c r="Y45" s="84" t="s">
        <v>33</v>
      </c>
      <c r="Z45" s="84" t="s">
        <v>48</v>
      </c>
      <c r="AA45" s="86" t="s">
        <v>49</v>
      </c>
      <c r="AB45" s="86" t="s">
        <v>37</v>
      </c>
      <c r="AC45" s="86" t="s">
        <v>27</v>
      </c>
      <c r="AD45" s="87" t="s">
        <v>34</v>
      </c>
      <c r="AE45" s="87" t="s">
        <v>24</v>
      </c>
      <c r="AF45" s="87" t="s">
        <v>50</v>
      </c>
      <c r="AG45" s="87" t="s">
        <v>38</v>
      </c>
      <c r="AH45" s="87" t="s">
        <v>28</v>
      </c>
      <c r="AI45" s="87" t="s">
        <v>35</v>
      </c>
      <c r="AJ45" s="87" t="s">
        <v>25</v>
      </c>
      <c r="AK45" s="87" t="s">
        <v>51</v>
      </c>
      <c r="AL45" s="87" t="s">
        <v>39</v>
      </c>
      <c r="AM45" s="87" t="s">
        <v>36</v>
      </c>
      <c r="AN45" s="88" t="s">
        <v>26</v>
      </c>
      <c r="AO45" s="84" t="s">
        <v>52</v>
      </c>
      <c r="AP45" s="84" t="s">
        <v>40</v>
      </c>
      <c r="AQ45" s="84" t="s">
        <v>30</v>
      </c>
      <c r="AR45" s="84" t="s">
        <v>22</v>
      </c>
      <c r="AS45" s="84" t="s">
        <v>33</v>
      </c>
      <c r="AT45" s="84" t="s">
        <v>53</v>
      </c>
      <c r="AU45" s="35"/>
      <c r="AV45" s="36"/>
      <c r="AW45" s="37"/>
    </row>
    <row r="46" spans="1:49" s="7" customFormat="1" x14ac:dyDescent="0.2">
      <c r="C46" s="18" t="s">
        <v>18</v>
      </c>
      <c r="D46" s="94">
        <v>177221</v>
      </c>
      <c r="E46" s="89">
        <v>99010</v>
      </c>
      <c r="F46" s="89">
        <v>129148</v>
      </c>
      <c r="G46" s="89">
        <v>107100</v>
      </c>
      <c r="H46" s="89">
        <v>98798</v>
      </c>
      <c r="I46" s="89">
        <v>155520</v>
      </c>
      <c r="J46" s="89">
        <v>79510</v>
      </c>
      <c r="K46" s="89">
        <v>147530</v>
      </c>
      <c r="L46" s="89">
        <v>121413</v>
      </c>
      <c r="M46" s="89">
        <v>85799</v>
      </c>
      <c r="N46" s="89">
        <v>78568</v>
      </c>
      <c r="O46" s="89">
        <v>74254</v>
      </c>
      <c r="P46" s="89">
        <v>103115</v>
      </c>
      <c r="Q46" s="89">
        <v>125641</v>
      </c>
      <c r="R46" s="89">
        <v>71530</v>
      </c>
      <c r="S46" s="89">
        <v>70426</v>
      </c>
      <c r="T46" s="89">
        <v>57099</v>
      </c>
      <c r="U46" s="89">
        <v>65359</v>
      </c>
      <c r="V46" s="89">
        <v>56774</v>
      </c>
      <c r="W46" s="89">
        <v>78565</v>
      </c>
      <c r="X46" s="89">
        <v>19720</v>
      </c>
      <c r="Y46" s="89">
        <v>56531</v>
      </c>
      <c r="Z46" s="89">
        <v>140850</v>
      </c>
      <c r="AA46" s="89">
        <v>57502</v>
      </c>
      <c r="AB46" s="89">
        <v>47777</v>
      </c>
      <c r="AC46" s="89">
        <v>12340</v>
      </c>
      <c r="AD46" s="89">
        <v>32300</v>
      </c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38"/>
      <c r="AV46" s="38"/>
      <c r="AW46" s="39"/>
    </row>
    <row r="47" spans="1:49" s="7" customFormat="1" x14ac:dyDescent="0.2">
      <c r="C47" s="18" t="s">
        <v>3</v>
      </c>
      <c r="D47" s="95">
        <v>177.221</v>
      </c>
      <c r="E47" s="90">
        <v>99.01</v>
      </c>
      <c r="F47" s="90">
        <v>129.148</v>
      </c>
      <c r="G47" s="90">
        <v>107.1</v>
      </c>
      <c r="H47" s="90">
        <v>98.798000000000002</v>
      </c>
      <c r="I47" s="90">
        <v>155.52000000000001</v>
      </c>
      <c r="J47" s="90">
        <v>79.510000000000005</v>
      </c>
      <c r="K47" s="90">
        <v>147.53</v>
      </c>
      <c r="L47" s="90">
        <v>121.413</v>
      </c>
      <c r="M47" s="90">
        <v>85.799000000000007</v>
      </c>
      <c r="N47" s="90">
        <v>78.567999999999998</v>
      </c>
      <c r="O47" s="90">
        <v>74.254000000000005</v>
      </c>
      <c r="P47" s="90">
        <v>103.11499999999999</v>
      </c>
      <c r="Q47" s="90">
        <v>125.64100000000001</v>
      </c>
      <c r="R47" s="90">
        <v>71.53</v>
      </c>
      <c r="S47" s="90">
        <v>70.426000000000002</v>
      </c>
      <c r="T47" s="90">
        <v>57.098999999999997</v>
      </c>
      <c r="U47" s="90">
        <v>65.358999999999995</v>
      </c>
      <c r="V47" s="90">
        <v>56.774000000000001</v>
      </c>
      <c r="W47" s="90">
        <v>78.564999999999998</v>
      </c>
      <c r="X47" s="90">
        <v>19.72</v>
      </c>
      <c r="Y47" s="90">
        <v>56.530999999999999</v>
      </c>
      <c r="Z47" s="90">
        <v>140.85</v>
      </c>
      <c r="AA47" s="90">
        <v>57.502000000000002</v>
      </c>
      <c r="AB47" s="90">
        <v>47.777000000000001</v>
      </c>
      <c r="AC47" s="90">
        <v>12.34</v>
      </c>
      <c r="AD47" s="90">
        <v>32.299999999999997</v>
      </c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38"/>
      <c r="AV47" s="38"/>
      <c r="AW47" s="39"/>
    </row>
    <row r="48" spans="1:49" x14ac:dyDescent="0.2">
      <c r="C48" s="19" t="s">
        <v>19</v>
      </c>
      <c r="D48" s="96">
        <v>134</v>
      </c>
      <c r="E48" s="92">
        <v>122</v>
      </c>
      <c r="F48" s="92">
        <v>114</v>
      </c>
      <c r="G48" s="92">
        <v>126</v>
      </c>
      <c r="H48" s="92">
        <v>134</v>
      </c>
      <c r="I48" s="92">
        <v>136</v>
      </c>
      <c r="J48" s="92">
        <v>145</v>
      </c>
      <c r="K48" s="92">
        <v>147</v>
      </c>
      <c r="L48" s="92">
        <v>122</v>
      </c>
      <c r="M48" s="92">
        <v>171</v>
      </c>
      <c r="N48" s="92">
        <v>184</v>
      </c>
      <c r="O48" s="92">
        <v>192</v>
      </c>
      <c r="P48" s="92">
        <v>189</v>
      </c>
      <c r="Q48" s="92">
        <v>161</v>
      </c>
      <c r="R48" s="92">
        <v>206</v>
      </c>
      <c r="S48" s="92">
        <v>180</v>
      </c>
      <c r="T48" s="92">
        <v>208</v>
      </c>
      <c r="U48" s="92">
        <v>195</v>
      </c>
      <c r="V48" s="92">
        <v>225</v>
      </c>
      <c r="W48" s="92">
        <v>199</v>
      </c>
      <c r="X48" s="92">
        <v>254</v>
      </c>
      <c r="Y48" s="92">
        <v>178</v>
      </c>
      <c r="Z48" s="92">
        <v>170</v>
      </c>
      <c r="AA48" s="92">
        <v>237</v>
      </c>
      <c r="AB48" s="92">
        <v>252</v>
      </c>
      <c r="AC48" s="92">
        <v>288</v>
      </c>
      <c r="AD48" s="92">
        <v>252</v>
      </c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38"/>
      <c r="AV48" s="38"/>
      <c r="AW48" s="39"/>
    </row>
    <row r="49" spans="3:49" ht="13.8" thickBot="1" x14ac:dyDescent="0.25">
      <c r="C49" s="20" t="s">
        <v>17</v>
      </c>
      <c r="D49" s="97">
        <v>191</v>
      </c>
      <c r="E49" s="97">
        <v>191</v>
      </c>
      <c r="F49" s="97">
        <v>191</v>
      </c>
      <c r="G49" s="97">
        <v>191</v>
      </c>
      <c r="H49" s="97">
        <v>191</v>
      </c>
      <c r="I49" s="97">
        <v>191</v>
      </c>
      <c r="J49" s="97">
        <v>191</v>
      </c>
      <c r="K49" s="97">
        <v>175</v>
      </c>
      <c r="L49" s="97">
        <v>175</v>
      </c>
      <c r="M49" s="97">
        <v>175</v>
      </c>
      <c r="N49" s="97">
        <v>175</v>
      </c>
      <c r="O49" s="97">
        <v>175</v>
      </c>
      <c r="P49" s="97">
        <v>175</v>
      </c>
      <c r="Q49" s="97">
        <v>175</v>
      </c>
      <c r="R49" s="97">
        <v>175</v>
      </c>
      <c r="S49" s="97">
        <v>166</v>
      </c>
      <c r="T49" s="97">
        <v>166</v>
      </c>
      <c r="U49" s="97">
        <v>166</v>
      </c>
      <c r="V49" s="97">
        <v>166</v>
      </c>
      <c r="W49" s="97">
        <v>166</v>
      </c>
      <c r="X49" s="97">
        <v>166</v>
      </c>
      <c r="Y49" s="97">
        <v>166</v>
      </c>
      <c r="Z49" s="97">
        <v>152</v>
      </c>
      <c r="AA49" s="97">
        <v>152</v>
      </c>
      <c r="AB49" s="97">
        <v>152</v>
      </c>
      <c r="AC49" s="97">
        <v>152</v>
      </c>
      <c r="AD49" s="97">
        <v>152</v>
      </c>
      <c r="AE49" s="97">
        <v>152</v>
      </c>
      <c r="AF49" s="97">
        <v>152</v>
      </c>
      <c r="AG49" s="97">
        <v>157</v>
      </c>
      <c r="AH49" s="97">
        <v>157</v>
      </c>
      <c r="AI49" s="97">
        <v>157</v>
      </c>
      <c r="AJ49" s="97">
        <v>157</v>
      </c>
      <c r="AK49" s="97">
        <v>157</v>
      </c>
      <c r="AL49" s="97">
        <v>157</v>
      </c>
      <c r="AM49" s="97">
        <v>174</v>
      </c>
      <c r="AN49" s="97">
        <v>174</v>
      </c>
      <c r="AO49" s="97">
        <v>174</v>
      </c>
      <c r="AP49" s="97">
        <v>174</v>
      </c>
      <c r="AQ49" s="97">
        <v>174</v>
      </c>
      <c r="AR49" s="97">
        <v>174</v>
      </c>
      <c r="AS49" s="97">
        <v>174</v>
      </c>
      <c r="AT49" s="97">
        <v>174</v>
      </c>
      <c r="AU49" s="16"/>
      <c r="AV49" s="16"/>
      <c r="AW49" s="41"/>
    </row>
    <row r="50" spans="3:49" ht="13.5" customHeight="1" x14ac:dyDescent="0.2">
      <c r="C50" s="3"/>
      <c r="D50" s="11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</row>
    <row r="51" spans="3:49" s="15" customFormat="1" ht="0.9" customHeight="1" x14ac:dyDescent="0.2">
      <c r="C51" s="9"/>
      <c r="D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45"/>
      <c r="Z51" s="45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45"/>
      <c r="AU51" s="45"/>
      <c r="AV51" s="45"/>
      <c r="AW51" s="45"/>
    </row>
    <row r="52" spans="3:49" ht="13.5" customHeight="1" x14ac:dyDescent="0.2"/>
  </sheetData>
  <dataConsolidate/>
  <phoneticPr fontId="1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さといも</vt:lpstr>
      <vt:lpstr>ばれいしょ</vt:lpstr>
      <vt:lpstr>集計表</vt:lpstr>
      <vt:lpstr>a</vt:lpstr>
      <vt:lpstr>さといも!Print_Area</vt:lpstr>
      <vt:lpstr>ばれいしょ!Print_Area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2025-12-01T00:32:47Z</dcterms:created>
  <dcterms:modified xsi:type="dcterms:W3CDTF">2026-07-09T06:29:05Z</dcterms:modified>
</cp:coreProperties>
</file>