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40650F91-A151-4824-9607-CA8797557A72}" xr6:coauthVersionLast="47" xr6:coauthVersionMax="47" xr10:uidLastSave="{00000000-0000-0000-0000-000000000000}"/>
  <bookViews>
    <workbookView xWindow="2160" yWindow="744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6" i="5" l="1"/>
  <c r="X5" i="5"/>
  <c r="X6" i="5"/>
  <c r="X7" i="5"/>
  <c r="X8" i="5"/>
  <c r="X9" i="5"/>
  <c r="X10" i="5"/>
  <c r="X11" i="5"/>
  <c r="X12" i="5"/>
  <c r="X13" i="5"/>
  <c r="X14" i="5"/>
  <c r="X15" i="5"/>
  <c r="X16" i="5"/>
  <c r="X4" i="5"/>
  <c r="V16" i="5"/>
  <c r="U16" i="5" l="1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D16" i="5"/>
  <c r="E16" i="5"/>
  <c r="F16" i="5"/>
  <c r="G16" i="5"/>
  <c r="C16" i="5"/>
</calcChain>
</file>

<file path=xl/sharedStrings.xml><?xml version="1.0" encoding="utf-8"?>
<sst xmlns="http://schemas.openxmlformats.org/spreadsheetml/2006/main" count="38" uniqueCount="38">
  <si>
    <t>キャベツ</t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</si>
  <si>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</si>
  <si>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</si>
  <si>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</si>
  <si>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</si>
  <si>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</si>
  <si>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</si>
  <si>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</si>
  <si>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</si>
  <si>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</si>
  <si>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</si>
  <si>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</si>
  <si>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</si>
  <si>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</si>
  <si>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</si>
  <si>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平成16年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</si>
  <si>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</si>
  <si>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</si>
  <si>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 xml:space="preserve">（単位：円/kg）
</t>
    <rPh sb="1" eb="3">
      <t>タンイ</t>
    </rPh>
    <rPh sb="4" eb="5">
      <t>エン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</si>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</sst>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76" fontId="0" fillId="0" borderId="5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キャベツの小売価格の推移（東京都区部）</a:t>
            </a:r>
          </a:p>
        </c:rich>
      </c:tx>
      <c:layout>
        <c:manualLayout>
          <c:xMode val="edge"/>
          <c:yMode val="edge"/>
          <c:x val="0.36041666803249761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69444444444445"/>
          <c:y val="0.10381593714927048"/>
          <c:w val="0.73229166666666667"/>
          <c:h val="0.73905723905723908"/>
        </c:manualLayout>
      </c:layout>
      <c:lineChart>
        <c:grouping val="standard"/>
        <c:varyColors val="0"/>
        <c:ser>
          <c:idx val="1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quare"/>
            <c:size val="6"/>
            <c:spPr>
              <a:solidFill>
                <a:srgbClr val="FF3300"/>
              </a:solidFill>
              <a:ln>
                <a:solidFill>
                  <a:srgbClr val="FF00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182</c:v>
                </c:pt>
                <c:pt idx="1">
                  <c:v>179</c:v>
                </c:pt>
                <c:pt idx="2">
                  <c:v>199</c:v>
                </c:pt>
                <c:pt idx="3">
                  <c:v>281</c:v>
                </c:pt>
                <c:pt idx="4">
                  <c:v>337</c:v>
                </c:pt>
                <c:pt idx="5">
                  <c:v>236</c:v>
                </c:pt>
                <c:pt idx="6">
                  <c:v>175</c:v>
                </c:pt>
                <c:pt idx="7">
                  <c:v>179</c:v>
                </c:pt>
                <c:pt idx="8">
                  <c:v>171</c:v>
                </c:pt>
                <c:pt idx="9">
                  <c:v>220</c:v>
                </c:pt>
                <c:pt idx="10">
                  <c:v>356</c:v>
                </c:pt>
                <c:pt idx="11">
                  <c:v>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5-42CB-871E-3F2173ACCE19}"/>
            </c:ext>
          </c:extLst>
        </c:ser>
        <c:ser>
          <c:idx val="2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528</c:v>
                </c:pt>
                <c:pt idx="1">
                  <c:v>360</c:v>
                </c:pt>
                <c:pt idx="2">
                  <c:v>375</c:v>
                </c:pt>
                <c:pt idx="3">
                  <c:v>281</c:v>
                </c:pt>
                <c:pt idx="4">
                  <c:v>218</c:v>
                </c:pt>
                <c:pt idx="5">
                  <c:v>172</c:v>
                </c:pt>
                <c:pt idx="6">
                  <c:v>172</c:v>
                </c:pt>
                <c:pt idx="7">
                  <c:v>169</c:v>
                </c:pt>
                <c:pt idx="8">
                  <c:v>158</c:v>
                </c:pt>
                <c:pt idx="9">
                  <c:v>184</c:v>
                </c:pt>
                <c:pt idx="10">
                  <c:v>197</c:v>
                </c:pt>
                <c:pt idx="11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5-42CB-871E-3F2173ACCE19}"/>
            </c:ext>
          </c:extLst>
        </c:ser>
        <c:ser>
          <c:idx val="0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3333FF"/>
              </a:solidFill>
            </a:ln>
          </c:spPr>
          <c:marker>
            <c:symbol val="triangle"/>
            <c:size val="6"/>
            <c:spPr>
              <a:solidFill>
                <a:srgbClr val="3333FF"/>
              </a:solidFill>
              <a:ln>
                <a:solidFill>
                  <a:srgbClr val="3333FF"/>
                </a:solidFill>
              </a:ln>
            </c:spPr>
          </c:marker>
          <c:val>
            <c:numRef>
              <c:f>Sheet１!$W$4:$W$15</c:f>
              <c:numCache>
                <c:formatCode>0_);[Red]\(0\)</c:formatCode>
                <c:ptCount val="12"/>
                <c:pt idx="0">
                  <c:v>192</c:v>
                </c:pt>
                <c:pt idx="1">
                  <c:v>209</c:v>
                </c:pt>
                <c:pt idx="2">
                  <c:v>199</c:v>
                </c:pt>
                <c:pt idx="3">
                  <c:v>238</c:v>
                </c:pt>
                <c:pt idx="4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D5-42CB-871E-3F2173ACCE19}"/>
            </c:ext>
          </c:extLst>
        </c:ser>
        <c:ser>
          <c:idx val="3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diamond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249.2</c:v>
                </c:pt>
                <c:pt idx="1">
                  <c:v>214.4</c:v>
                </c:pt>
                <c:pt idx="2">
                  <c:v>222.4</c:v>
                </c:pt>
                <c:pt idx="3">
                  <c:v>230.8</c:v>
                </c:pt>
                <c:pt idx="4">
                  <c:v>226.8</c:v>
                </c:pt>
                <c:pt idx="5">
                  <c:v>197</c:v>
                </c:pt>
                <c:pt idx="6">
                  <c:v>181</c:v>
                </c:pt>
                <c:pt idx="7">
                  <c:v>163</c:v>
                </c:pt>
                <c:pt idx="8">
                  <c:v>161.80000000000001</c:v>
                </c:pt>
                <c:pt idx="9">
                  <c:v>189.6</c:v>
                </c:pt>
                <c:pt idx="10">
                  <c:v>222.6</c:v>
                </c:pt>
                <c:pt idx="11">
                  <c:v>216.4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D5-42CB-871E-3F2173ACC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256800"/>
        <c:axId val="1"/>
      </c:lineChart>
      <c:catAx>
        <c:axId val="46125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520826299304042"/>
              <c:y val="0.86868703335109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6125680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cap="rnd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0.88958338660073955"/>
          <c:y val="0.32546371857636741"/>
          <c:w val="9.6875000682915435E-2"/>
          <c:h val="0.204047159569229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5E63979-EEB3-4C8E-BFAE-A68EEF550C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Y18"/>
  <sheetViews>
    <sheetView workbookViewId="0">
      <selection activeCell="W8" sqref="W8"/>
    </sheetView>
  </sheetViews>
  <sheetFormatPr defaultRowHeight="15" customHeight="1" x14ac:dyDescent="0.2"/>
  <cols>
    <col min="2" max="2" width="9.44140625" customWidth="1"/>
    <col min="3" max="11" width="9.6640625" hidden="1" customWidth="1"/>
    <col min="12" max="24" width="9.6640625" customWidth="1"/>
  </cols>
  <sheetData>
    <row r="2" spans="2:25" ht="15" customHeight="1" x14ac:dyDescent="0.2">
      <c r="B2" t="s">
        <v>0</v>
      </c>
      <c r="X2" s="9" t="s">
        <v>18</v>
      </c>
      <c r="Y2" s="8"/>
    </row>
    <row r="3" spans="2:25" ht="15" customHeight="1" x14ac:dyDescent="0.2">
      <c r="B3" s="1"/>
      <c r="C3" s="2" t="s">
        <v>15</v>
      </c>
      <c r="D3" s="2" t="s">
        <v>13</v>
      </c>
      <c r="E3" s="2" t="s">
        <v>14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17</v>
      </c>
    </row>
    <row r="4" spans="2:25" ht="15" customHeight="1" x14ac:dyDescent="0.2">
      <c r="B4" s="4" t="s">
        <v>1</v>
      </c>
      <c r="C4" s="4">
        <v>183</v>
      </c>
      <c r="D4" s="4">
        <v>234</v>
      </c>
      <c r="E4" s="4">
        <v>300</v>
      </c>
      <c r="F4" s="4">
        <v>197</v>
      </c>
      <c r="G4" s="4">
        <v>173</v>
      </c>
      <c r="H4" s="4">
        <v>186</v>
      </c>
      <c r="I4" s="4">
        <v>230</v>
      </c>
      <c r="J4" s="4">
        <v>203</v>
      </c>
      <c r="K4" s="4">
        <v>267</v>
      </c>
      <c r="L4" s="4">
        <v>229</v>
      </c>
      <c r="M4" s="4">
        <v>125</v>
      </c>
      <c r="N4" s="4">
        <v>213</v>
      </c>
      <c r="O4" s="4">
        <v>361</v>
      </c>
      <c r="P4" s="10">
        <v>177</v>
      </c>
      <c r="Q4" s="4">
        <v>152</v>
      </c>
      <c r="R4" s="4">
        <v>184</v>
      </c>
      <c r="S4" s="4">
        <v>158</v>
      </c>
      <c r="T4" s="4">
        <v>194</v>
      </c>
      <c r="U4" s="4">
        <v>182</v>
      </c>
      <c r="V4" s="4">
        <v>528</v>
      </c>
      <c r="W4" s="4">
        <v>192</v>
      </c>
      <c r="X4" s="4">
        <f>AVERAGE(R4:V4)</f>
        <v>249.2</v>
      </c>
    </row>
    <row r="5" spans="2:25" ht="15" customHeight="1" x14ac:dyDescent="0.2">
      <c r="B5" s="5" t="s">
        <v>2</v>
      </c>
      <c r="C5" s="5">
        <v>197</v>
      </c>
      <c r="D5" s="5">
        <v>278</v>
      </c>
      <c r="E5" s="5">
        <v>206</v>
      </c>
      <c r="F5" s="5">
        <v>179</v>
      </c>
      <c r="G5" s="5">
        <v>199</v>
      </c>
      <c r="H5" s="5">
        <v>228</v>
      </c>
      <c r="I5" s="5">
        <v>247</v>
      </c>
      <c r="J5" s="5">
        <v>204</v>
      </c>
      <c r="K5" s="5">
        <v>237</v>
      </c>
      <c r="L5" s="5">
        <v>202</v>
      </c>
      <c r="M5" s="5">
        <v>138</v>
      </c>
      <c r="N5" s="5">
        <v>219</v>
      </c>
      <c r="O5" s="5">
        <v>401</v>
      </c>
      <c r="P5" s="5">
        <v>186</v>
      </c>
      <c r="Q5" s="5">
        <v>128</v>
      </c>
      <c r="R5" s="5">
        <v>158</v>
      </c>
      <c r="S5" s="5">
        <v>186</v>
      </c>
      <c r="T5" s="5">
        <v>189</v>
      </c>
      <c r="U5" s="5">
        <v>179</v>
      </c>
      <c r="V5" s="5">
        <v>360</v>
      </c>
      <c r="W5" s="5">
        <v>209</v>
      </c>
      <c r="X5" s="5">
        <f t="shared" ref="X5:X16" si="0">AVERAGE(R5:V5)</f>
        <v>214.4</v>
      </c>
    </row>
    <row r="6" spans="2:25" ht="15" customHeight="1" x14ac:dyDescent="0.2">
      <c r="B6" s="5" t="s">
        <v>3</v>
      </c>
      <c r="C6" s="5">
        <v>194</v>
      </c>
      <c r="D6" s="5">
        <v>246</v>
      </c>
      <c r="E6" s="5">
        <v>171</v>
      </c>
      <c r="F6" s="5">
        <v>176</v>
      </c>
      <c r="G6" s="5">
        <v>201</v>
      </c>
      <c r="H6" s="5">
        <v>206</v>
      </c>
      <c r="I6" s="5">
        <v>238</v>
      </c>
      <c r="J6" s="5">
        <v>181</v>
      </c>
      <c r="K6" s="5">
        <v>200</v>
      </c>
      <c r="L6" s="5">
        <v>169</v>
      </c>
      <c r="M6" s="5">
        <v>159</v>
      </c>
      <c r="N6" s="5">
        <v>229</v>
      </c>
      <c r="O6" s="5">
        <v>309</v>
      </c>
      <c r="P6" s="5">
        <v>139</v>
      </c>
      <c r="Q6" s="5">
        <v>149</v>
      </c>
      <c r="R6" s="5">
        <v>144</v>
      </c>
      <c r="S6" s="5">
        <v>209</v>
      </c>
      <c r="T6" s="5">
        <v>185</v>
      </c>
      <c r="U6" s="5">
        <v>199</v>
      </c>
      <c r="V6" s="5">
        <v>375</v>
      </c>
      <c r="W6" s="5">
        <v>199</v>
      </c>
      <c r="X6" s="5">
        <f t="shared" si="0"/>
        <v>222.4</v>
      </c>
    </row>
    <row r="7" spans="2:25" ht="15" customHeight="1" x14ac:dyDescent="0.2">
      <c r="B7" s="5" t="s">
        <v>4</v>
      </c>
      <c r="C7" s="5">
        <v>200</v>
      </c>
      <c r="D7" s="5">
        <v>249</v>
      </c>
      <c r="E7" s="5">
        <v>258</v>
      </c>
      <c r="F7" s="5">
        <v>233</v>
      </c>
      <c r="G7" s="5">
        <v>343</v>
      </c>
      <c r="H7" s="5">
        <v>195</v>
      </c>
      <c r="I7" s="5">
        <v>262</v>
      </c>
      <c r="J7" s="5">
        <v>207</v>
      </c>
      <c r="K7" s="5">
        <v>206</v>
      </c>
      <c r="L7" s="5">
        <v>255</v>
      </c>
      <c r="M7" s="5">
        <v>210</v>
      </c>
      <c r="N7" s="5">
        <v>244</v>
      </c>
      <c r="O7" s="5">
        <v>189</v>
      </c>
      <c r="P7" s="5">
        <v>177</v>
      </c>
      <c r="Q7" s="5">
        <v>264</v>
      </c>
      <c r="R7" s="5">
        <v>151</v>
      </c>
      <c r="S7" s="5">
        <v>235</v>
      </c>
      <c r="T7" s="5">
        <v>206</v>
      </c>
      <c r="U7" s="5">
        <v>281</v>
      </c>
      <c r="V7" s="5">
        <v>281</v>
      </c>
      <c r="W7" s="5">
        <v>238</v>
      </c>
      <c r="X7" s="5">
        <f t="shared" si="0"/>
        <v>230.8</v>
      </c>
    </row>
    <row r="8" spans="2:25" ht="15" customHeight="1" x14ac:dyDescent="0.2">
      <c r="B8" s="5" t="s">
        <v>5</v>
      </c>
      <c r="C8" s="5">
        <v>151</v>
      </c>
      <c r="D8" s="5">
        <v>195</v>
      </c>
      <c r="E8" s="5">
        <v>194</v>
      </c>
      <c r="F8" s="5">
        <v>205</v>
      </c>
      <c r="G8" s="5">
        <v>182</v>
      </c>
      <c r="H8" s="5">
        <v>127</v>
      </c>
      <c r="I8" s="5">
        <v>196</v>
      </c>
      <c r="J8" s="5">
        <v>133</v>
      </c>
      <c r="K8" s="5">
        <v>175</v>
      </c>
      <c r="L8" s="5">
        <v>273</v>
      </c>
      <c r="M8" s="5">
        <v>207</v>
      </c>
      <c r="N8" s="5">
        <v>197</v>
      </c>
      <c r="O8" s="5">
        <v>145</v>
      </c>
      <c r="P8" s="5">
        <v>191</v>
      </c>
      <c r="Q8" s="5">
        <v>266</v>
      </c>
      <c r="R8" s="5">
        <v>156</v>
      </c>
      <c r="S8" s="5">
        <v>221</v>
      </c>
      <c r="T8" s="5">
        <v>202</v>
      </c>
      <c r="U8" s="5">
        <v>337</v>
      </c>
      <c r="V8" s="5">
        <v>218</v>
      </c>
      <c r="W8" s="5">
        <v>232</v>
      </c>
      <c r="X8" s="5">
        <f t="shared" si="0"/>
        <v>226.8</v>
      </c>
    </row>
    <row r="9" spans="2:25" ht="15" customHeight="1" x14ac:dyDescent="0.2">
      <c r="B9" s="5" t="s">
        <v>6</v>
      </c>
      <c r="C9" s="5">
        <v>196</v>
      </c>
      <c r="D9" s="5">
        <v>127</v>
      </c>
      <c r="E9" s="5">
        <v>182</v>
      </c>
      <c r="F9" s="5">
        <v>145</v>
      </c>
      <c r="G9" s="5">
        <v>168</v>
      </c>
      <c r="H9" s="5">
        <v>106</v>
      </c>
      <c r="I9" s="5">
        <v>127</v>
      </c>
      <c r="J9" s="5">
        <v>137</v>
      </c>
      <c r="K9" s="5">
        <v>147</v>
      </c>
      <c r="L9" s="5">
        <v>188</v>
      </c>
      <c r="M9" s="5">
        <v>190</v>
      </c>
      <c r="N9" s="5">
        <v>157</v>
      </c>
      <c r="O9" s="5">
        <v>148</v>
      </c>
      <c r="P9" s="5">
        <v>168</v>
      </c>
      <c r="Q9" s="5">
        <v>188</v>
      </c>
      <c r="R9" s="5">
        <v>172</v>
      </c>
      <c r="S9" s="5">
        <v>204</v>
      </c>
      <c r="T9" s="5">
        <v>201</v>
      </c>
      <c r="U9" s="5">
        <v>236</v>
      </c>
      <c r="V9" s="5">
        <v>172</v>
      </c>
      <c r="W9" s="5"/>
      <c r="X9" s="5">
        <f t="shared" si="0"/>
        <v>197</v>
      </c>
    </row>
    <row r="10" spans="2:25" ht="15" customHeight="1" x14ac:dyDescent="0.2">
      <c r="B10" s="5" t="s">
        <v>7</v>
      </c>
      <c r="C10" s="5">
        <v>181</v>
      </c>
      <c r="D10" s="5">
        <v>138</v>
      </c>
      <c r="E10" s="5">
        <v>148</v>
      </c>
      <c r="F10" s="5">
        <v>136</v>
      </c>
      <c r="G10" s="5">
        <v>164</v>
      </c>
      <c r="H10" s="5">
        <v>174</v>
      </c>
      <c r="I10" s="5">
        <v>119</v>
      </c>
      <c r="J10" s="5">
        <v>173</v>
      </c>
      <c r="K10" s="5">
        <v>171</v>
      </c>
      <c r="L10" s="5">
        <v>167</v>
      </c>
      <c r="M10" s="5">
        <v>148</v>
      </c>
      <c r="N10" s="5">
        <v>145</v>
      </c>
      <c r="O10" s="5">
        <v>174</v>
      </c>
      <c r="P10" s="5">
        <v>154</v>
      </c>
      <c r="Q10" s="5">
        <v>171</v>
      </c>
      <c r="R10" s="5">
        <v>161</v>
      </c>
      <c r="S10" s="5">
        <v>186</v>
      </c>
      <c r="T10" s="5">
        <v>211</v>
      </c>
      <c r="U10" s="5">
        <v>175</v>
      </c>
      <c r="V10" s="5">
        <v>172</v>
      </c>
      <c r="W10" s="5"/>
      <c r="X10" s="5">
        <f t="shared" si="0"/>
        <v>181</v>
      </c>
    </row>
    <row r="11" spans="2:25" ht="15" customHeight="1" x14ac:dyDescent="0.2">
      <c r="B11" s="5" t="s">
        <v>8</v>
      </c>
      <c r="C11" s="5">
        <v>149</v>
      </c>
      <c r="D11" s="5">
        <v>111</v>
      </c>
      <c r="E11" s="5">
        <v>191</v>
      </c>
      <c r="F11" s="5">
        <v>159</v>
      </c>
      <c r="G11" s="5">
        <v>166</v>
      </c>
      <c r="H11" s="5">
        <v>123</v>
      </c>
      <c r="I11" s="5">
        <v>111</v>
      </c>
      <c r="J11" s="5">
        <v>140</v>
      </c>
      <c r="K11" s="5">
        <v>151</v>
      </c>
      <c r="L11" s="5">
        <v>188</v>
      </c>
      <c r="M11" s="5">
        <v>133</v>
      </c>
      <c r="N11" s="5">
        <v>139</v>
      </c>
      <c r="O11" s="5">
        <v>216</v>
      </c>
      <c r="P11" s="5">
        <v>188</v>
      </c>
      <c r="Q11" s="5">
        <v>263</v>
      </c>
      <c r="R11" s="5">
        <v>142</v>
      </c>
      <c r="S11" s="5">
        <v>149</v>
      </c>
      <c r="T11" s="5">
        <v>176</v>
      </c>
      <c r="U11" s="5">
        <v>179</v>
      </c>
      <c r="V11" s="5">
        <v>169</v>
      </c>
      <c r="W11" s="5"/>
      <c r="X11" s="5">
        <f t="shared" si="0"/>
        <v>163</v>
      </c>
    </row>
    <row r="12" spans="2:25" ht="15" customHeight="1" x14ac:dyDescent="0.2">
      <c r="B12" s="5" t="s">
        <v>9</v>
      </c>
      <c r="C12" s="5">
        <v>145</v>
      </c>
      <c r="D12" s="5">
        <v>126</v>
      </c>
      <c r="E12" s="5">
        <v>169</v>
      </c>
      <c r="F12" s="5">
        <v>181</v>
      </c>
      <c r="G12" s="5">
        <v>155</v>
      </c>
      <c r="H12" s="5">
        <v>148</v>
      </c>
      <c r="I12" s="5">
        <v>101</v>
      </c>
      <c r="J12" s="5">
        <v>160</v>
      </c>
      <c r="K12" s="5">
        <v>228</v>
      </c>
      <c r="L12" s="5">
        <v>226</v>
      </c>
      <c r="M12" s="5">
        <v>166</v>
      </c>
      <c r="N12" s="5">
        <v>170</v>
      </c>
      <c r="O12" s="5">
        <v>147</v>
      </c>
      <c r="P12" s="5">
        <v>177</v>
      </c>
      <c r="Q12" s="5">
        <v>226</v>
      </c>
      <c r="R12" s="5">
        <v>178</v>
      </c>
      <c r="S12" s="5">
        <v>133</v>
      </c>
      <c r="T12" s="5">
        <v>169</v>
      </c>
      <c r="U12" s="5">
        <v>171</v>
      </c>
      <c r="V12" s="5">
        <v>158</v>
      </c>
      <c r="W12" s="5"/>
      <c r="X12" s="5">
        <f t="shared" si="0"/>
        <v>161.80000000000001</v>
      </c>
    </row>
    <row r="13" spans="2:25" ht="15" customHeight="1" x14ac:dyDescent="0.2">
      <c r="B13" s="5" t="s">
        <v>10</v>
      </c>
      <c r="C13" s="5">
        <v>230</v>
      </c>
      <c r="D13" s="5">
        <v>130</v>
      </c>
      <c r="E13" s="5">
        <v>173</v>
      </c>
      <c r="F13" s="5">
        <v>127</v>
      </c>
      <c r="G13" s="5">
        <v>192</v>
      </c>
      <c r="H13" s="5">
        <v>187</v>
      </c>
      <c r="I13" s="5">
        <v>101</v>
      </c>
      <c r="J13" s="5">
        <v>180</v>
      </c>
      <c r="K13" s="5">
        <v>209</v>
      </c>
      <c r="L13" s="5">
        <v>277</v>
      </c>
      <c r="M13" s="5">
        <v>261</v>
      </c>
      <c r="N13" s="5">
        <v>143</v>
      </c>
      <c r="O13" s="5">
        <v>170</v>
      </c>
      <c r="P13" s="5">
        <v>154</v>
      </c>
      <c r="Q13" s="5">
        <v>184</v>
      </c>
      <c r="R13" s="5">
        <v>173</v>
      </c>
      <c r="S13" s="5">
        <v>161</v>
      </c>
      <c r="T13" s="5">
        <v>210</v>
      </c>
      <c r="U13" s="5">
        <v>220</v>
      </c>
      <c r="V13" s="5">
        <v>184</v>
      </c>
      <c r="W13" s="5"/>
      <c r="X13" s="5">
        <f t="shared" si="0"/>
        <v>189.6</v>
      </c>
    </row>
    <row r="14" spans="2:25" ht="15" customHeight="1" x14ac:dyDescent="0.2">
      <c r="B14" s="5" t="s">
        <v>11</v>
      </c>
      <c r="C14" s="5">
        <v>339</v>
      </c>
      <c r="D14" s="5">
        <v>134</v>
      </c>
      <c r="E14" s="5">
        <v>108</v>
      </c>
      <c r="F14" s="5">
        <v>110</v>
      </c>
      <c r="G14" s="5">
        <v>265</v>
      </c>
      <c r="H14" s="5">
        <v>139</v>
      </c>
      <c r="I14" s="5">
        <v>103</v>
      </c>
      <c r="J14" s="5">
        <v>193</v>
      </c>
      <c r="K14" s="5">
        <v>122</v>
      </c>
      <c r="L14" s="5">
        <v>192</v>
      </c>
      <c r="M14" s="5">
        <v>346</v>
      </c>
      <c r="N14" s="5">
        <v>185</v>
      </c>
      <c r="O14" s="5">
        <v>174</v>
      </c>
      <c r="P14" s="5">
        <v>161</v>
      </c>
      <c r="Q14" s="5">
        <v>150</v>
      </c>
      <c r="R14" s="5">
        <v>161</v>
      </c>
      <c r="S14" s="5">
        <v>178</v>
      </c>
      <c r="T14" s="5">
        <v>221</v>
      </c>
      <c r="U14" s="5">
        <v>356</v>
      </c>
      <c r="V14" s="5">
        <v>197</v>
      </c>
      <c r="W14" s="5"/>
      <c r="X14" s="5">
        <f t="shared" si="0"/>
        <v>222.6</v>
      </c>
    </row>
    <row r="15" spans="2:25" ht="15" customHeight="1" x14ac:dyDescent="0.2">
      <c r="B15" s="6" t="s">
        <v>12</v>
      </c>
      <c r="C15" s="6">
        <v>237</v>
      </c>
      <c r="D15" s="6">
        <v>184</v>
      </c>
      <c r="E15" s="6">
        <v>102</v>
      </c>
      <c r="F15" s="4">
        <v>108</v>
      </c>
      <c r="G15" s="4">
        <v>185</v>
      </c>
      <c r="H15" s="4">
        <v>137</v>
      </c>
      <c r="I15" s="4">
        <v>128</v>
      </c>
      <c r="J15" s="4">
        <v>253</v>
      </c>
      <c r="K15" s="4">
        <v>158</v>
      </c>
      <c r="L15" s="4">
        <v>135</v>
      </c>
      <c r="M15" s="4">
        <v>233</v>
      </c>
      <c r="N15" s="4">
        <v>255</v>
      </c>
      <c r="O15" s="4">
        <v>138</v>
      </c>
      <c r="P15" s="4">
        <v>154</v>
      </c>
      <c r="Q15" s="4">
        <v>122</v>
      </c>
      <c r="R15" s="4">
        <v>135</v>
      </c>
      <c r="S15" s="4">
        <v>151</v>
      </c>
      <c r="T15" s="4">
        <v>198</v>
      </c>
      <c r="U15" s="4">
        <v>408</v>
      </c>
      <c r="V15" s="4">
        <v>190</v>
      </c>
      <c r="W15" s="4"/>
      <c r="X15" s="4">
        <f t="shared" si="0"/>
        <v>216.4</v>
      </c>
    </row>
    <row r="16" spans="2:25" ht="15" customHeight="1" x14ac:dyDescent="0.2">
      <c r="B16" s="7" t="s">
        <v>16</v>
      </c>
      <c r="C16" s="7">
        <f>AVERAGE(C4:C15)</f>
        <v>200.16666666666666</v>
      </c>
      <c r="D16" s="7">
        <f>AVERAGE(D4:D15)</f>
        <v>179.33333333333334</v>
      </c>
      <c r="E16" s="7">
        <f>AVERAGE(E4:E15)</f>
        <v>183.5</v>
      </c>
      <c r="F16" s="7">
        <f t="shared" ref="F16:K16" si="1">AVERAGE(F4:F15)</f>
        <v>163</v>
      </c>
      <c r="G16" s="7">
        <f t="shared" si="1"/>
        <v>199.41666666666666</v>
      </c>
      <c r="H16" s="7">
        <f t="shared" si="1"/>
        <v>163</v>
      </c>
      <c r="I16" s="7">
        <f t="shared" si="1"/>
        <v>163.58333333333334</v>
      </c>
      <c r="J16" s="7">
        <f t="shared" si="1"/>
        <v>180.33333333333334</v>
      </c>
      <c r="K16" s="7">
        <f t="shared" si="1"/>
        <v>189.25</v>
      </c>
      <c r="L16" s="7">
        <f t="shared" ref="L16:R16" si="2">AVERAGE(L4:L15)</f>
        <v>208.41666666666666</v>
      </c>
      <c r="M16" s="7">
        <f t="shared" si="2"/>
        <v>193</v>
      </c>
      <c r="N16" s="7">
        <f t="shared" si="2"/>
        <v>191.33333333333334</v>
      </c>
      <c r="O16" s="7">
        <f t="shared" si="2"/>
        <v>214.33333333333334</v>
      </c>
      <c r="P16" s="7">
        <f t="shared" si="2"/>
        <v>168.83333333333334</v>
      </c>
      <c r="Q16" s="7">
        <f t="shared" si="2"/>
        <v>188.58333333333334</v>
      </c>
      <c r="R16" s="7">
        <f t="shared" si="2"/>
        <v>159.58333333333334</v>
      </c>
      <c r="S16" s="7">
        <f>AVERAGE(S4:S15)</f>
        <v>180.91666666666666</v>
      </c>
      <c r="T16" s="7">
        <f>IFERROR(AVERAGE(T4:T15),"")</f>
        <v>196.83333333333334</v>
      </c>
      <c r="U16" s="7">
        <f>IFERROR(AVERAGE(U4:U15),"")</f>
        <v>243.58333333333334</v>
      </c>
      <c r="V16" s="7">
        <f>IFERROR(AVERAGE(V4:V15),"")</f>
        <v>250.33333333333334</v>
      </c>
      <c r="W16" s="7">
        <f>IFERROR(AVERAGE(W4:W15),"")</f>
        <v>214</v>
      </c>
      <c r="X16" s="7">
        <f t="shared" si="0"/>
        <v>206.25</v>
      </c>
    </row>
    <row r="18" spans="2:2" ht="15" customHeight="1" x14ac:dyDescent="0.2">
      <c r="B18" s="3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  <ignoredErrors>
    <ignoredError sqref="J1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2007-04-18T05:00:56Z</cp:lastPrinted>
  <dcterms:created xsi:type="dcterms:W3CDTF">2007-03-20T10:21:47Z</dcterms:created>
  <dcterms:modified xsi:type="dcterms:W3CDTF">2026-06-26T00:28:32Z</dcterms:modified>
</cp:coreProperties>
</file>