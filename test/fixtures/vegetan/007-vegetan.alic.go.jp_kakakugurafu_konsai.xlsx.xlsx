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/>
  <xr:revisionPtr revIDLastSave="0" documentId="13_ncr:1_{A81C79D8-177D-410B-A5FA-5F79CD3C0EBE}" xr6:coauthVersionLast="47" xr6:coauthVersionMax="47" xr10:uidLastSave="{00000000-0000-0000-0000-000000000000}"/>
  <bookViews>
    <workbookView xWindow="28680" yWindow="-3555" windowWidth="29040" windowHeight="15720" tabRatio="490" activeTab="1" xr2:uid="{00000000-000D-0000-FFFF-FFFF00000000}"/>
  </bookViews>
  <sheets>
    <sheet name="だいこん" sheetId="1" r:id="rId1"/>
    <sheet name="にんじん" sheetId="4" r:id="rId2"/>
    <sheet name="集計表" sheetId="14" state="hidden" r:id="rId3"/>
  </sheets>
  <definedNames>
    <definedName name="_xlnm.Print_Area" localSheetId="0">だいこん!$A$1:$AS$160</definedName>
    <definedName name="_xlnm.Print_Area" localSheetId="1">にんじん!$A$1:$AS$160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58" i="4" l="1"/>
  <c r="AR157" i="4"/>
  <c r="AR159" i="4" s="1"/>
  <c r="AR156" i="4"/>
  <c r="AR155" i="4"/>
  <c r="AR118" i="4"/>
  <c r="AR117" i="4"/>
  <c r="AR116" i="4"/>
  <c r="AR115" i="4"/>
  <c r="AR78" i="4"/>
  <c r="AR77" i="4"/>
  <c r="AR79" i="4" s="1"/>
  <c r="AR76" i="4"/>
  <c r="AR75" i="4"/>
  <c r="AR38" i="4"/>
  <c r="AR37" i="4"/>
  <c r="AR36" i="4"/>
  <c r="AR35" i="4"/>
  <c r="AR158" i="1"/>
  <c r="AR157" i="1"/>
  <c r="AR156" i="1"/>
  <c r="AR155" i="1"/>
  <c r="AR118" i="1"/>
  <c r="AR117" i="1"/>
  <c r="AR119" i="1" s="1"/>
  <c r="AR116" i="1"/>
  <c r="AR115" i="1"/>
  <c r="AR78" i="1"/>
  <c r="AR77" i="1"/>
  <c r="AR79" i="1" s="1"/>
  <c r="AR76" i="1"/>
  <c r="AR75" i="1"/>
  <c r="AR38" i="1"/>
  <c r="AR37" i="1"/>
  <c r="AR36" i="1"/>
  <c r="AR35" i="1"/>
  <c r="AP155" i="4"/>
  <c r="AQ155" i="4"/>
  <c r="AP156" i="4"/>
  <c r="AQ156" i="4"/>
  <c r="AP157" i="4"/>
  <c r="AQ157" i="4"/>
  <c r="AP158" i="4"/>
  <c r="AQ158" i="4"/>
  <c r="AP115" i="4"/>
  <c r="AQ115" i="4"/>
  <c r="AP116" i="4"/>
  <c r="AQ116" i="4"/>
  <c r="AP117" i="4"/>
  <c r="AQ117" i="4"/>
  <c r="AP118" i="4"/>
  <c r="AQ118" i="4"/>
  <c r="AP75" i="4"/>
  <c r="AQ75" i="4"/>
  <c r="AP76" i="4"/>
  <c r="AQ76" i="4"/>
  <c r="AP77" i="4"/>
  <c r="AQ77" i="4"/>
  <c r="AP78" i="4"/>
  <c r="AQ78" i="4"/>
  <c r="AP35" i="4"/>
  <c r="AQ35" i="4"/>
  <c r="AP36" i="4"/>
  <c r="AQ36" i="4"/>
  <c r="AP37" i="4"/>
  <c r="AQ37" i="4"/>
  <c r="AP38" i="4"/>
  <c r="AQ38" i="4"/>
  <c r="AP155" i="1"/>
  <c r="AQ155" i="1"/>
  <c r="AP156" i="1"/>
  <c r="AQ156" i="1"/>
  <c r="AP157" i="1"/>
  <c r="AQ157" i="1"/>
  <c r="AP158" i="1"/>
  <c r="AQ158" i="1"/>
  <c r="AP115" i="1"/>
  <c r="AQ115" i="1"/>
  <c r="AP116" i="1"/>
  <c r="AQ116" i="1"/>
  <c r="AP117" i="1"/>
  <c r="AQ117" i="1"/>
  <c r="AP118" i="1"/>
  <c r="AQ118" i="1"/>
  <c r="AP75" i="1"/>
  <c r="AQ75" i="1"/>
  <c r="AP76" i="1"/>
  <c r="AQ76" i="1"/>
  <c r="AP77" i="1"/>
  <c r="AQ77" i="1"/>
  <c r="AP78" i="1"/>
  <c r="AQ78" i="1"/>
  <c r="AP35" i="1"/>
  <c r="AQ35" i="1"/>
  <c r="AP36" i="1"/>
  <c r="AQ36" i="1"/>
  <c r="AP37" i="1"/>
  <c r="AQ37" i="1"/>
  <c r="AP38" i="1"/>
  <c r="AQ38" i="1"/>
  <c r="AO158" i="4"/>
  <c r="AN158" i="4"/>
  <c r="AO157" i="4"/>
  <c r="AN157" i="4"/>
  <c r="AO156" i="4"/>
  <c r="AN156" i="4"/>
  <c r="AO155" i="4"/>
  <c r="AN155" i="4"/>
  <c r="AO118" i="4"/>
  <c r="AN118" i="4"/>
  <c r="AO117" i="4"/>
  <c r="AN117" i="4"/>
  <c r="AO116" i="4"/>
  <c r="AN116" i="4"/>
  <c r="AO115" i="4"/>
  <c r="AN115" i="4"/>
  <c r="AO78" i="4"/>
  <c r="AN78" i="4"/>
  <c r="AO77" i="4"/>
  <c r="AN77" i="4"/>
  <c r="AO76" i="4"/>
  <c r="AN76" i="4"/>
  <c r="AO75" i="4"/>
  <c r="AN75" i="4"/>
  <c r="AO38" i="4"/>
  <c r="AN38" i="4"/>
  <c r="AO37" i="4"/>
  <c r="AN37" i="4"/>
  <c r="AO36" i="4"/>
  <c r="AN36" i="4"/>
  <c r="AO35" i="4"/>
  <c r="AN35" i="4"/>
  <c r="AO158" i="1"/>
  <c r="AN158" i="1"/>
  <c r="AO157" i="1"/>
  <c r="AN157" i="1"/>
  <c r="AO156" i="1"/>
  <c r="AN156" i="1"/>
  <c r="AO155" i="1"/>
  <c r="AN155" i="1"/>
  <c r="AO118" i="1"/>
  <c r="AN118" i="1"/>
  <c r="AO117" i="1"/>
  <c r="AN117" i="1"/>
  <c r="AO116" i="1"/>
  <c r="AN116" i="1"/>
  <c r="AO115" i="1"/>
  <c r="AN115" i="1"/>
  <c r="AO78" i="1"/>
  <c r="AN78" i="1"/>
  <c r="AO77" i="1"/>
  <c r="AN77" i="1"/>
  <c r="AO76" i="1"/>
  <c r="AN76" i="1"/>
  <c r="AO75" i="1"/>
  <c r="AN75" i="1"/>
  <c r="AO38" i="1"/>
  <c r="AN38" i="1"/>
  <c r="AO37" i="1"/>
  <c r="AN37" i="1"/>
  <c r="AO36" i="1"/>
  <c r="AN36" i="1"/>
  <c r="AO35" i="1"/>
  <c r="AN35" i="1"/>
  <c r="C45" i="14"/>
  <c r="C39" i="14"/>
  <c r="C33" i="14"/>
  <c r="C27" i="14"/>
  <c r="C19" i="14"/>
  <c r="C13" i="14"/>
  <c r="C7" i="14"/>
  <c r="AQ159" i="4" l="1"/>
  <c r="AQ159" i="1"/>
  <c r="AR39" i="1"/>
  <c r="AR159" i="1"/>
  <c r="AR119" i="4"/>
  <c r="AR39" i="4"/>
  <c r="AQ79" i="4"/>
  <c r="AQ119" i="1"/>
  <c r="AP119" i="1"/>
  <c r="AO39" i="1"/>
  <c r="AO159" i="1"/>
  <c r="AO119" i="4"/>
  <c r="AN159" i="1"/>
  <c r="AN39" i="1"/>
  <c r="AQ119" i="4"/>
  <c r="AQ79" i="1"/>
  <c r="AP79" i="4"/>
  <c r="AO119" i="1"/>
  <c r="AO79" i="4"/>
  <c r="AN119" i="1"/>
  <c r="AQ39" i="4"/>
  <c r="AP79" i="1"/>
  <c r="AP39" i="1"/>
  <c r="AQ39" i="1"/>
  <c r="AO79" i="1"/>
  <c r="AO39" i="4"/>
  <c r="AO159" i="4"/>
  <c r="AP39" i="4"/>
  <c r="AP159" i="1"/>
  <c r="AP119" i="4"/>
  <c r="AP159" i="4"/>
  <c r="AN79" i="4"/>
  <c r="AN119" i="4"/>
  <c r="AN159" i="4"/>
  <c r="AN79" i="1"/>
  <c r="AN39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M35" i="4" l="1"/>
  <c r="M35" i="1"/>
  <c r="P36" i="4" l="1"/>
  <c r="P36" i="1"/>
  <c r="AK75" i="1"/>
  <c r="AL75" i="1"/>
  <c r="AK76" i="1"/>
  <c r="AL76" i="1"/>
  <c r="AK77" i="1"/>
  <c r="AL77" i="1"/>
  <c r="AK78" i="1"/>
  <c r="AL78" i="1"/>
  <c r="U158" i="4"/>
  <c r="U156" i="4"/>
  <c r="U155" i="4"/>
  <c r="U115" i="4"/>
  <c r="U36" i="4"/>
  <c r="U158" i="1"/>
  <c r="U156" i="1"/>
  <c r="U155" i="1"/>
  <c r="A155" i="4"/>
  <c r="A115" i="4"/>
  <c r="A75" i="4"/>
  <c r="A35" i="4"/>
  <c r="A155" i="1"/>
  <c r="A115" i="1"/>
  <c r="A75" i="1"/>
  <c r="L1" i="4"/>
  <c r="B35" i="4"/>
  <c r="C35" i="4"/>
  <c r="D35" i="4"/>
  <c r="E35" i="4"/>
  <c r="F35" i="4"/>
  <c r="G35" i="4"/>
  <c r="H35" i="4"/>
  <c r="I35" i="4"/>
  <c r="J35" i="4"/>
  <c r="K35" i="4"/>
  <c r="L35" i="4"/>
  <c r="N35" i="4"/>
  <c r="O35" i="4"/>
  <c r="P35" i="4"/>
  <c r="Q35" i="4"/>
  <c r="R35" i="4"/>
  <c r="S35" i="4"/>
  <c r="T35" i="4"/>
  <c r="U35" i="4"/>
  <c r="X35" i="4"/>
  <c r="Y35" i="4"/>
  <c r="AC35" i="4"/>
  <c r="AE35" i="4"/>
  <c r="AF35" i="4"/>
  <c r="AG35" i="4"/>
  <c r="AI35" i="4"/>
  <c r="AJ35" i="4"/>
  <c r="AK35" i="4"/>
  <c r="AL35" i="4"/>
  <c r="AM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Q36" i="4"/>
  <c r="R36" i="4"/>
  <c r="S36" i="4"/>
  <c r="T36" i="4"/>
  <c r="X36" i="4"/>
  <c r="Y36" i="4"/>
  <c r="AC36" i="4"/>
  <c r="AE36" i="4"/>
  <c r="AF36" i="4"/>
  <c r="AG36" i="4"/>
  <c r="AI36" i="4"/>
  <c r="AJ36" i="4"/>
  <c r="AK36" i="4"/>
  <c r="AL36" i="4"/>
  <c r="AM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X37" i="4"/>
  <c r="Y37" i="4"/>
  <c r="AC37" i="4"/>
  <c r="AE37" i="4"/>
  <c r="AF37" i="4"/>
  <c r="AG37" i="4"/>
  <c r="AI37" i="4"/>
  <c r="AJ37" i="4"/>
  <c r="AK37" i="4"/>
  <c r="AL37" i="4"/>
  <c r="AM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X38" i="4"/>
  <c r="Y38" i="4"/>
  <c r="AC38" i="4"/>
  <c r="AE38" i="4"/>
  <c r="AF38" i="4"/>
  <c r="AG38" i="4"/>
  <c r="AI38" i="4"/>
  <c r="AJ38" i="4"/>
  <c r="AK38" i="4"/>
  <c r="AL38" i="4"/>
  <c r="AM38" i="4"/>
  <c r="L41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X75" i="4"/>
  <c r="Y75" i="4"/>
  <c r="AC75" i="4"/>
  <c r="AE75" i="4"/>
  <c r="AF75" i="4"/>
  <c r="AG75" i="4"/>
  <c r="AI75" i="4"/>
  <c r="AJ75" i="4"/>
  <c r="AK75" i="4"/>
  <c r="AL75" i="4"/>
  <c r="AM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X76" i="4"/>
  <c r="Y76" i="4"/>
  <c r="AC76" i="4"/>
  <c r="AE76" i="4"/>
  <c r="AF76" i="4"/>
  <c r="AG76" i="4"/>
  <c r="AI76" i="4"/>
  <c r="AJ76" i="4"/>
  <c r="AK76" i="4"/>
  <c r="AL76" i="4"/>
  <c r="AM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X78" i="4"/>
  <c r="Y78" i="4"/>
  <c r="AC78" i="4"/>
  <c r="AE78" i="4"/>
  <c r="AF78" i="4"/>
  <c r="AG78" i="4"/>
  <c r="AI78" i="4"/>
  <c r="AJ78" i="4"/>
  <c r="AK78" i="4"/>
  <c r="AL78" i="4"/>
  <c r="AM78" i="4"/>
  <c r="L81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X115" i="4"/>
  <c r="Y115" i="4"/>
  <c r="AC115" i="4"/>
  <c r="AE115" i="4"/>
  <c r="AF115" i="4"/>
  <c r="AG115" i="4"/>
  <c r="AI115" i="4"/>
  <c r="AJ115" i="4"/>
  <c r="AK115" i="4"/>
  <c r="AL115" i="4"/>
  <c r="AM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X116" i="4"/>
  <c r="Y116" i="4"/>
  <c r="AC116" i="4"/>
  <c r="AE116" i="4"/>
  <c r="AF116" i="4"/>
  <c r="AG116" i="4"/>
  <c r="AI116" i="4"/>
  <c r="AJ116" i="4"/>
  <c r="AK116" i="4"/>
  <c r="AL116" i="4"/>
  <c r="AM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X117" i="4"/>
  <c r="Y117" i="4"/>
  <c r="AC117" i="4"/>
  <c r="AE117" i="4"/>
  <c r="AF117" i="4"/>
  <c r="AG117" i="4"/>
  <c r="AI117" i="4"/>
  <c r="AJ117" i="4"/>
  <c r="AK117" i="4"/>
  <c r="AL117" i="4"/>
  <c r="AM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X118" i="4"/>
  <c r="Y118" i="4"/>
  <c r="AC118" i="4"/>
  <c r="AE118" i="4"/>
  <c r="AF118" i="4"/>
  <c r="AG118" i="4"/>
  <c r="AI118" i="4"/>
  <c r="AJ118" i="4"/>
  <c r="AK118" i="4"/>
  <c r="AL118" i="4"/>
  <c r="AM118" i="4"/>
  <c r="L121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X155" i="4"/>
  <c r="Y155" i="4"/>
  <c r="AC155" i="4"/>
  <c r="AE155" i="4"/>
  <c r="AF155" i="4"/>
  <c r="AG155" i="4"/>
  <c r="AI155" i="4"/>
  <c r="AJ155" i="4"/>
  <c r="AK155" i="4"/>
  <c r="AL155" i="4"/>
  <c r="AM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X156" i="4"/>
  <c r="Y156" i="4"/>
  <c r="AC156" i="4"/>
  <c r="AE156" i="4"/>
  <c r="AF156" i="4"/>
  <c r="AG156" i="4"/>
  <c r="AI156" i="4"/>
  <c r="AJ156" i="4"/>
  <c r="AK156" i="4"/>
  <c r="AL156" i="4"/>
  <c r="AM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X157" i="4"/>
  <c r="Y157" i="4"/>
  <c r="AC157" i="4"/>
  <c r="AE157" i="4"/>
  <c r="AF157" i="4"/>
  <c r="AG157" i="4"/>
  <c r="AI157" i="4"/>
  <c r="AJ157" i="4"/>
  <c r="AK157" i="4"/>
  <c r="AL157" i="4"/>
  <c r="AM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X158" i="4"/>
  <c r="Y158" i="4"/>
  <c r="AC158" i="4"/>
  <c r="AE158" i="4"/>
  <c r="AF158" i="4"/>
  <c r="AG158" i="4"/>
  <c r="AI158" i="4"/>
  <c r="AJ158" i="4"/>
  <c r="AK158" i="4"/>
  <c r="AL158" i="4"/>
  <c r="AM158" i="4"/>
  <c r="L1" i="1"/>
  <c r="A35" i="1"/>
  <c r="B35" i="1"/>
  <c r="C35" i="1"/>
  <c r="D35" i="1"/>
  <c r="E35" i="1"/>
  <c r="F35" i="1"/>
  <c r="G35" i="1"/>
  <c r="H35" i="1"/>
  <c r="I35" i="1"/>
  <c r="J35" i="1"/>
  <c r="K35" i="1"/>
  <c r="L35" i="1"/>
  <c r="N35" i="1"/>
  <c r="O35" i="1"/>
  <c r="P35" i="1"/>
  <c r="Q35" i="1"/>
  <c r="R35" i="1"/>
  <c r="S35" i="1"/>
  <c r="T35" i="1"/>
  <c r="U35" i="1"/>
  <c r="X35" i="1"/>
  <c r="Y35" i="1"/>
  <c r="AC35" i="1"/>
  <c r="AE35" i="1"/>
  <c r="AF35" i="1"/>
  <c r="AG35" i="1"/>
  <c r="AI35" i="1"/>
  <c r="AJ35" i="1"/>
  <c r="AK35" i="1"/>
  <c r="AL35" i="1"/>
  <c r="AM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Q36" i="1"/>
  <c r="R36" i="1"/>
  <c r="S36" i="1"/>
  <c r="T36" i="1"/>
  <c r="U36" i="1"/>
  <c r="X36" i="1"/>
  <c r="Y36" i="1"/>
  <c r="AC36" i="1"/>
  <c r="AE36" i="1"/>
  <c r="AF36" i="1"/>
  <c r="AG36" i="1"/>
  <c r="AI36" i="1"/>
  <c r="AJ36" i="1"/>
  <c r="AK36" i="1"/>
  <c r="AL36" i="1"/>
  <c r="AM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X37" i="1"/>
  <c r="Y37" i="1"/>
  <c r="AC37" i="1"/>
  <c r="AE37" i="1"/>
  <c r="AF37" i="1"/>
  <c r="AG37" i="1"/>
  <c r="AI37" i="1"/>
  <c r="AJ37" i="1"/>
  <c r="AK37" i="1"/>
  <c r="AL37" i="1"/>
  <c r="AM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X38" i="1"/>
  <c r="Y38" i="1"/>
  <c r="AC38" i="1"/>
  <c r="AE38" i="1"/>
  <c r="AF38" i="1"/>
  <c r="AG38" i="1"/>
  <c r="AI38" i="1"/>
  <c r="AJ38" i="1"/>
  <c r="AK38" i="1"/>
  <c r="AL38" i="1"/>
  <c r="AM38" i="1"/>
  <c r="L41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X75" i="1"/>
  <c r="Y75" i="1"/>
  <c r="AC75" i="1"/>
  <c r="AE75" i="1"/>
  <c r="AF75" i="1"/>
  <c r="AG75" i="1"/>
  <c r="AI75" i="1"/>
  <c r="AJ75" i="1"/>
  <c r="AM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X76" i="1"/>
  <c r="Y76" i="1"/>
  <c r="AC76" i="1"/>
  <c r="AE76" i="1"/>
  <c r="AF76" i="1"/>
  <c r="AG76" i="1"/>
  <c r="AI76" i="1"/>
  <c r="AJ76" i="1"/>
  <c r="AM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X77" i="1"/>
  <c r="Y77" i="1"/>
  <c r="AC77" i="1"/>
  <c r="AE77" i="1"/>
  <c r="AF77" i="1"/>
  <c r="AG77" i="1"/>
  <c r="AI77" i="1"/>
  <c r="AJ77" i="1"/>
  <c r="AM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X78" i="1"/>
  <c r="Y78" i="1"/>
  <c r="AC78" i="1"/>
  <c r="AE78" i="1"/>
  <c r="AF78" i="1"/>
  <c r="AG78" i="1"/>
  <c r="AI78" i="1"/>
  <c r="AJ78" i="1"/>
  <c r="AM78" i="1"/>
  <c r="L81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X115" i="1"/>
  <c r="Y115" i="1"/>
  <c r="AC115" i="1"/>
  <c r="AE115" i="1"/>
  <c r="AF115" i="1"/>
  <c r="AG115" i="1"/>
  <c r="AI115" i="1"/>
  <c r="AJ115" i="1"/>
  <c r="AK115" i="1"/>
  <c r="AL115" i="1"/>
  <c r="A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X116" i="1"/>
  <c r="Y116" i="1"/>
  <c r="AC116" i="1"/>
  <c r="AE116" i="1"/>
  <c r="AF116" i="1"/>
  <c r="AG116" i="1"/>
  <c r="AI116" i="1"/>
  <c r="AJ116" i="1"/>
  <c r="AK116" i="1"/>
  <c r="AL116" i="1"/>
  <c r="A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X117" i="1"/>
  <c r="Y117" i="1"/>
  <c r="AC117" i="1"/>
  <c r="AE117" i="1"/>
  <c r="AF117" i="1"/>
  <c r="AG117" i="1"/>
  <c r="AI117" i="1"/>
  <c r="AJ117" i="1"/>
  <c r="AK117" i="1"/>
  <c r="AL117" i="1"/>
  <c r="A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X118" i="1"/>
  <c r="Y118" i="1"/>
  <c r="AC118" i="1"/>
  <c r="AE118" i="1"/>
  <c r="AF118" i="1"/>
  <c r="AG118" i="1"/>
  <c r="AI118" i="1"/>
  <c r="AJ118" i="1"/>
  <c r="AK118" i="1"/>
  <c r="AL118" i="1"/>
  <c r="AM118" i="1"/>
  <c r="L121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X155" i="1"/>
  <c r="Y155" i="1"/>
  <c r="AC155" i="1"/>
  <c r="AE155" i="1"/>
  <c r="AF155" i="1"/>
  <c r="AG155" i="1"/>
  <c r="AI155" i="1"/>
  <c r="AJ155" i="1"/>
  <c r="AK155" i="1"/>
  <c r="AL155" i="1"/>
  <c r="A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X156" i="1"/>
  <c r="Y156" i="1"/>
  <c r="AC156" i="1"/>
  <c r="AE156" i="1"/>
  <c r="AF156" i="1"/>
  <c r="AG156" i="1"/>
  <c r="AI156" i="1"/>
  <c r="AJ156" i="1"/>
  <c r="AK156" i="1"/>
  <c r="AL156" i="1"/>
  <c r="A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X157" i="1"/>
  <c r="Y157" i="1"/>
  <c r="AC157" i="1"/>
  <c r="AE157" i="1"/>
  <c r="AF157" i="1"/>
  <c r="AG157" i="1"/>
  <c r="AI157" i="1"/>
  <c r="AJ157" i="1"/>
  <c r="AK157" i="1"/>
  <c r="AL157" i="1"/>
  <c r="A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X158" i="1"/>
  <c r="Y158" i="1"/>
  <c r="AC158" i="1"/>
  <c r="AE158" i="1"/>
  <c r="AF158" i="1"/>
  <c r="AG158" i="1"/>
  <c r="AI158" i="1"/>
  <c r="AJ158" i="1"/>
  <c r="AK158" i="1"/>
  <c r="AL158" i="1"/>
  <c r="AM158" i="1"/>
  <c r="AB36" i="1"/>
  <c r="AB116" i="4"/>
  <c r="AB118" i="4"/>
  <c r="AB157" i="1"/>
  <c r="AB155" i="4"/>
  <c r="AB37" i="4"/>
  <c r="AB75" i="1"/>
  <c r="AB115" i="1"/>
  <c r="AB116" i="1"/>
  <c r="AB157" i="4"/>
  <c r="AB35" i="1"/>
  <c r="AB38" i="1"/>
  <c r="AB77" i="1"/>
  <c r="AB75" i="4"/>
  <c r="AB117" i="4"/>
  <c r="AB156" i="1"/>
  <c r="AB158" i="1"/>
  <c r="AB36" i="4"/>
  <c r="AB38" i="4"/>
  <c r="AB76" i="4"/>
  <c r="AB78" i="4"/>
  <c r="AB115" i="4"/>
  <c r="AB155" i="1"/>
  <c r="AB156" i="4"/>
  <c r="AB158" i="4"/>
  <c r="AB37" i="1"/>
  <c r="AB117" i="1"/>
  <c r="AB35" i="4"/>
  <c r="AB76" i="1"/>
  <c r="AB78" i="1"/>
  <c r="AB118" i="1"/>
  <c r="AH36" i="1"/>
  <c r="AH118" i="1"/>
  <c r="AH118" i="4"/>
  <c r="AH75" i="1"/>
  <c r="AH116" i="4"/>
  <c r="AH115" i="1"/>
  <c r="AH35" i="4"/>
  <c r="AH155" i="4"/>
  <c r="AH78" i="1"/>
  <c r="AH76" i="1"/>
  <c r="AH77" i="1"/>
  <c r="AH158" i="4"/>
  <c r="AH116" i="1"/>
  <c r="AH78" i="4"/>
  <c r="AH37" i="4"/>
  <c r="AH115" i="4"/>
  <c r="AH117" i="4"/>
  <c r="AH158" i="1"/>
  <c r="AH157" i="1"/>
  <c r="AH117" i="1"/>
  <c r="AH157" i="4"/>
  <c r="AH36" i="4"/>
  <c r="AH38" i="4"/>
  <c r="AH76" i="4"/>
  <c r="AH75" i="4"/>
  <c r="AH35" i="1"/>
  <c r="AH37" i="1"/>
  <c r="AH156" i="4"/>
  <c r="AH155" i="1"/>
  <c r="AH156" i="1"/>
  <c r="AH38" i="1"/>
  <c r="Z156" i="1"/>
  <c r="Z158" i="4"/>
  <c r="Z36" i="1"/>
  <c r="Z115" i="4"/>
  <c r="Z158" i="1"/>
  <c r="Z38" i="1"/>
  <c r="Z155" i="4"/>
  <c r="Z37" i="4"/>
  <c r="Z116" i="1"/>
  <c r="Z155" i="1"/>
  <c r="Z117" i="1"/>
  <c r="Z38" i="4"/>
  <c r="Z117" i="4"/>
  <c r="Z78" i="4"/>
  <c r="Z118" i="4"/>
  <c r="Z35" i="4"/>
  <c r="Z118" i="1"/>
  <c r="Z116" i="4"/>
  <c r="Z37" i="1"/>
  <c r="Z78" i="1"/>
  <c r="Z35" i="1"/>
  <c r="Z76" i="1"/>
  <c r="Z75" i="4"/>
  <c r="Z76" i="4"/>
  <c r="Z157" i="4"/>
  <c r="Z115" i="1"/>
  <c r="Z36" i="4"/>
  <c r="Z77" i="1"/>
  <c r="Z156" i="4"/>
  <c r="Z157" i="1"/>
  <c r="Z75" i="1"/>
  <c r="W158" i="4"/>
  <c r="W36" i="1"/>
  <c r="W78" i="1"/>
  <c r="V36" i="1"/>
  <c r="V76" i="1"/>
  <c r="W115" i="1"/>
  <c r="W155" i="1"/>
  <c r="W38" i="4"/>
  <c r="V116" i="4"/>
  <c r="W116" i="1"/>
  <c r="V157" i="1"/>
  <c r="V157" i="4"/>
  <c r="W77" i="1"/>
  <c r="W35" i="4"/>
  <c r="W75" i="4"/>
  <c r="W115" i="4"/>
  <c r="W155" i="4"/>
  <c r="V116" i="1"/>
  <c r="W156" i="1"/>
  <c r="W37" i="4"/>
  <c r="V117" i="4"/>
  <c r="W157" i="4"/>
  <c r="V35" i="1"/>
  <c r="V156" i="1"/>
  <c r="V78" i="4"/>
  <c r="W156" i="4"/>
  <c r="V75" i="1"/>
  <c r="W76" i="4"/>
  <c r="W78" i="4"/>
  <c r="V117" i="1"/>
  <c r="V36" i="4"/>
  <c r="V156" i="4"/>
  <c r="W35" i="1"/>
  <c r="W76" i="1"/>
  <c r="V118" i="1"/>
  <c r="V38" i="4"/>
  <c r="V37" i="1"/>
  <c r="V155" i="4"/>
  <c r="W38" i="1"/>
  <c r="V76" i="4"/>
  <c r="V77" i="1"/>
  <c r="W75" i="1"/>
  <c r="V35" i="4"/>
  <c r="V78" i="1"/>
  <c r="W36" i="4"/>
  <c r="W118" i="1"/>
  <c r="W118" i="4"/>
  <c r="V155" i="1"/>
  <c r="V158" i="1"/>
  <c r="W117" i="4"/>
  <c r="V75" i="4"/>
  <c r="V158" i="4"/>
  <c r="W158" i="1"/>
  <c r="W37" i="1"/>
  <c r="V115" i="1"/>
  <c r="V37" i="4"/>
  <c r="V115" i="4"/>
  <c r="W117" i="1"/>
  <c r="V118" i="4"/>
  <c r="V38" i="1"/>
  <c r="W116" i="4"/>
  <c r="W157" i="1"/>
  <c r="AD115" i="1"/>
  <c r="AD36" i="1"/>
  <c r="AD156" i="4"/>
  <c r="AD37" i="1"/>
  <c r="AD78" i="1"/>
  <c r="AD116" i="4"/>
  <c r="AD118" i="4"/>
  <c r="AD117" i="1"/>
  <c r="AD35" i="4"/>
  <c r="AD158" i="4"/>
  <c r="AD156" i="1"/>
  <c r="AD116" i="1"/>
  <c r="AD38" i="4"/>
  <c r="AD75" i="1"/>
  <c r="AD36" i="4"/>
  <c r="AD155" i="4"/>
  <c r="AD155" i="1"/>
  <c r="AD157" i="1"/>
  <c r="AD76" i="1"/>
  <c r="AD78" i="4"/>
  <c r="AD158" i="1"/>
  <c r="AD118" i="1"/>
  <c r="AD75" i="4"/>
  <c r="AD76" i="4"/>
  <c r="AD77" i="1"/>
  <c r="AD37" i="4"/>
  <c r="AD157" i="4"/>
  <c r="AD38" i="1"/>
  <c r="AD117" i="4"/>
  <c r="AD35" i="1"/>
  <c r="AD115" i="4"/>
  <c r="W39" i="1" l="1"/>
  <c r="W119" i="1"/>
  <c r="W39" i="4"/>
  <c r="AL79" i="1"/>
  <c r="AD79" i="1"/>
  <c r="V39" i="4"/>
  <c r="V119" i="4"/>
  <c r="AH159" i="4"/>
  <c r="AJ159" i="4"/>
  <c r="Q159" i="4"/>
  <c r="M159" i="4"/>
  <c r="I159" i="4"/>
  <c r="E159" i="4"/>
  <c r="AM119" i="4"/>
  <c r="AI119" i="4"/>
  <c r="P119" i="4"/>
  <c r="L119" i="4"/>
  <c r="H119" i="4"/>
  <c r="D119" i="4"/>
  <c r="AM79" i="4"/>
  <c r="AI79" i="4"/>
  <c r="P79" i="4"/>
  <c r="L79" i="4"/>
  <c r="H79" i="4"/>
  <c r="D79" i="4"/>
  <c r="AJ39" i="4"/>
  <c r="AE39" i="4"/>
  <c r="U39" i="4"/>
  <c r="Q39" i="4"/>
  <c r="M39" i="4"/>
  <c r="I39" i="4"/>
  <c r="E39" i="4"/>
  <c r="AK79" i="1"/>
  <c r="K159" i="1"/>
  <c r="G159" i="1"/>
  <c r="C159" i="1"/>
  <c r="AK119" i="1"/>
  <c r="R119" i="1"/>
  <c r="N119" i="1"/>
  <c r="J119" i="1"/>
  <c r="F119" i="1"/>
  <c r="B119" i="1"/>
  <c r="AM39" i="1"/>
  <c r="AI39" i="1"/>
  <c r="P39" i="1"/>
  <c r="L39" i="1"/>
  <c r="H39" i="1"/>
  <c r="D39" i="1"/>
  <c r="L159" i="4"/>
  <c r="H159" i="4"/>
  <c r="D159" i="4"/>
  <c r="AL119" i="4"/>
  <c r="AG119" i="4"/>
  <c r="K119" i="4"/>
  <c r="G119" i="4"/>
  <c r="C119" i="4"/>
  <c r="AL79" i="4"/>
  <c r="AG79" i="4"/>
  <c r="K79" i="4"/>
  <c r="G79" i="4"/>
  <c r="C79" i="4"/>
  <c r="AM39" i="4"/>
  <c r="AI39" i="4"/>
  <c r="L39" i="4"/>
  <c r="H39" i="4"/>
  <c r="D39" i="4"/>
  <c r="AL159" i="1"/>
  <c r="AG159" i="1"/>
  <c r="K39" i="1"/>
  <c r="G39" i="1"/>
  <c r="C39" i="1"/>
  <c r="AG79" i="1"/>
  <c r="G79" i="1"/>
  <c r="AH119" i="4"/>
  <c r="K79" i="1"/>
  <c r="C79" i="1"/>
  <c r="J159" i="1"/>
  <c r="F159" i="1"/>
  <c r="B159" i="1"/>
  <c r="AJ119" i="1"/>
  <c r="I119" i="1"/>
  <c r="E119" i="1"/>
  <c r="AL39" i="1"/>
  <c r="AG39" i="1"/>
  <c r="AH79" i="1"/>
  <c r="AM159" i="1"/>
  <c r="AI159" i="1"/>
  <c r="AI79" i="1"/>
  <c r="H79" i="1"/>
  <c r="D79" i="1"/>
  <c r="AK159" i="4"/>
  <c r="AD79" i="4"/>
  <c r="AD119" i="4"/>
  <c r="AC39" i="1"/>
  <c r="AC119" i="4"/>
  <c r="AC79" i="4"/>
  <c r="AC39" i="4"/>
  <c r="Z79" i="1"/>
  <c r="Y159" i="1"/>
  <c r="Y79" i="1"/>
  <c r="Y39" i="1"/>
  <c r="Y119" i="4"/>
  <c r="Y79" i="4"/>
  <c r="V119" i="1"/>
  <c r="V79" i="1"/>
  <c r="U159" i="4"/>
  <c r="U119" i="1"/>
  <c r="T39" i="1"/>
  <c r="T119" i="4"/>
  <c r="T79" i="4"/>
  <c r="T79" i="1"/>
  <c r="T159" i="4"/>
  <c r="T39" i="4"/>
  <c r="S159" i="1"/>
  <c r="S79" i="1"/>
  <c r="S39" i="1"/>
  <c r="S119" i="4"/>
  <c r="S79" i="4"/>
  <c r="R159" i="1"/>
  <c r="Q119" i="1"/>
  <c r="P79" i="1"/>
  <c r="P159" i="4"/>
  <c r="P39" i="4"/>
  <c r="O159" i="1"/>
  <c r="O79" i="1"/>
  <c r="O39" i="1"/>
  <c r="O119" i="4"/>
  <c r="O79" i="4"/>
  <c r="N159" i="1"/>
  <c r="M119" i="1"/>
  <c r="L79" i="1"/>
  <c r="V79" i="4"/>
  <c r="Z119" i="4"/>
  <c r="AH119" i="1"/>
  <c r="AF159" i="1"/>
  <c r="AM79" i="1"/>
  <c r="V39" i="1"/>
  <c r="W79" i="1"/>
  <c r="AK159" i="1"/>
  <c r="X159" i="1"/>
  <c r="V159" i="1"/>
  <c r="AH79" i="4"/>
  <c r="AB159" i="4"/>
  <c r="T159" i="1"/>
  <c r="P159" i="1"/>
  <c r="L159" i="1"/>
  <c r="H159" i="1"/>
  <c r="D159" i="1"/>
  <c r="AL119" i="1"/>
  <c r="AG119" i="1"/>
  <c r="S119" i="1"/>
  <c r="O119" i="1"/>
  <c r="K119" i="1"/>
  <c r="G119" i="1"/>
  <c r="C119" i="1"/>
  <c r="AJ39" i="1"/>
  <c r="AE39" i="1"/>
  <c r="U39" i="1"/>
  <c r="Q39" i="1"/>
  <c r="M39" i="1"/>
  <c r="I39" i="1"/>
  <c r="E39" i="1"/>
  <c r="X79" i="1"/>
  <c r="N79" i="1"/>
  <c r="F79" i="1"/>
  <c r="AI159" i="4"/>
  <c r="AC159" i="4"/>
  <c r="AF79" i="1"/>
  <c r="R79" i="1"/>
  <c r="J79" i="1"/>
  <c r="B79" i="1"/>
  <c r="AM159" i="4"/>
  <c r="AD159" i="4"/>
  <c r="W159" i="1"/>
  <c r="V159" i="4"/>
  <c r="AH39" i="1"/>
  <c r="AH159" i="1"/>
  <c r="AH39" i="4"/>
  <c r="AB119" i="4"/>
  <c r="AB79" i="4"/>
  <c r="AB159" i="1"/>
  <c r="AJ159" i="1"/>
  <c r="AE159" i="1"/>
  <c r="U159" i="1"/>
  <c r="Q159" i="1"/>
  <c r="M159" i="1"/>
  <c r="I159" i="1"/>
  <c r="E159" i="1"/>
  <c r="AM119" i="1"/>
  <c r="AI119" i="1"/>
  <c r="AC119" i="1"/>
  <c r="T119" i="1"/>
  <c r="P119" i="1"/>
  <c r="L119" i="1"/>
  <c r="H119" i="1"/>
  <c r="D119" i="1"/>
  <c r="AJ79" i="1"/>
  <c r="AE79" i="1"/>
  <c r="U79" i="1"/>
  <c r="Q79" i="1"/>
  <c r="M79" i="1"/>
  <c r="I79" i="1"/>
  <c r="E79" i="1"/>
  <c r="AK39" i="1"/>
  <c r="AF39" i="1"/>
  <c r="X39" i="1"/>
  <c r="R39" i="1"/>
  <c r="N39" i="1"/>
  <c r="J39" i="1"/>
  <c r="F39" i="1"/>
  <c r="B39" i="1"/>
  <c r="AL159" i="4"/>
  <c r="AG159" i="4"/>
  <c r="S159" i="4"/>
  <c r="O159" i="4"/>
  <c r="K159" i="4"/>
  <c r="G159" i="4"/>
  <c r="C159" i="4"/>
  <c r="AK119" i="4"/>
  <c r="AF119" i="4"/>
  <c r="X119" i="4"/>
  <c r="R119" i="4"/>
  <c r="N119" i="4"/>
  <c r="J119" i="4"/>
  <c r="F119" i="4"/>
  <c r="B119" i="4"/>
  <c r="AK79" i="4"/>
  <c r="AF79" i="4"/>
  <c r="X79" i="4"/>
  <c r="R79" i="4"/>
  <c r="N79" i="4"/>
  <c r="J79" i="4"/>
  <c r="F79" i="4"/>
  <c r="B79" i="4"/>
  <c r="AL39" i="4"/>
  <c r="AG39" i="4"/>
  <c r="Y39" i="4"/>
  <c r="S39" i="4"/>
  <c r="O39" i="4"/>
  <c r="K39" i="4"/>
  <c r="G39" i="4"/>
  <c r="C39" i="4"/>
  <c r="R159" i="4"/>
  <c r="N159" i="4"/>
  <c r="J159" i="4"/>
  <c r="F159" i="4"/>
  <c r="B159" i="4"/>
  <c r="AJ119" i="4"/>
  <c r="AE119" i="4"/>
  <c r="U119" i="4"/>
  <c r="Q119" i="4"/>
  <c r="M119" i="4"/>
  <c r="I119" i="4"/>
  <c r="E119" i="4"/>
  <c r="AJ79" i="4"/>
  <c r="AE79" i="4"/>
  <c r="U79" i="4"/>
  <c r="Q79" i="4"/>
  <c r="M79" i="4"/>
  <c r="I79" i="4"/>
  <c r="E79" i="4"/>
  <c r="AK39" i="4"/>
  <c r="AF39" i="4"/>
  <c r="X39" i="4"/>
  <c r="R39" i="4"/>
  <c r="N39" i="4"/>
  <c r="J39" i="4"/>
  <c r="F39" i="4"/>
  <c r="B39" i="4"/>
  <c r="AF119" i="1"/>
  <c r="AF159" i="4"/>
  <c r="AE159" i="4"/>
  <c r="AE119" i="1"/>
  <c r="AD119" i="1"/>
  <c r="AD39" i="1"/>
  <c r="AD39" i="4"/>
  <c r="AD159" i="1"/>
  <c r="AC159" i="1"/>
  <c r="AC79" i="1"/>
  <c r="AB39" i="1"/>
  <c r="AB79" i="1"/>
  <c r="AB39" i="4"/>
  <c r="AB119" i="1"/>
  <c r="Z159" i="4"/>
  <c r="Z79" i="4"/>
  <c r="Z39" i="4"/>
  <c r="Z159" i="1"/>
  <c r="Z39" i="1"/>
  <c r="Z119" i="1"/>
  <c r="Y159" i="4"/>
  <c r="Y119" i="1"/>
  <c r="X159" i="4"/>
  <c r="X119" i="1"/>
  <c r="W119" i="4"/>
  <c r="W79" i="4"/>
  <c r="W159" i="4"/>
  <c r="AA36" i="1" l="1"/>
  <c r="AA76" i="4"/>
  <c r="AA75" i="1"/>
  <c r="AA155" i="1"/>
  <c r="AA38" i="1"/>
  <c r="AA158" i="4"/>
  <c r="AA78" i="1"/>
  <c r="AA155" i="4"/>
  <c r="AA76" i="1"/>
  <c r="AA116" i="4"/>
  <c r="AA35" i="4"/>
  <c r="AA117" i="4"/>
  <c r="AA36" i="4"/>
  <c r="AA156" i="1"/>
  <c r="AA115" i="4"/>
  <c r="AA118" i="4"/>
  <c r="AA118" i="1"/>
  <c r="AA38" i="4"/>
  <c r="AA75" i="4"/>
  <c r="AA77" i="1"/>
  <c r="AA117" i="1"/>
  <c r="AA116" i="1"/>
  <c r="AA156" i="4"/>
  <c r="AA35" i="1"/>
  <c r="AA157" i="4"/>
  <c r="AA78" i="4"/>
  <c r="AA115" i="1"/>
  <c r="AA158" i="1"/>
  <c r="AA157" i="1"/>
  <c r="AA37" i="4"/>
  <c r="AA37" i="1"/>
  <c r="AA159" i="4" l="1"/>
  <c r="AA39" i="4"/>
  <c r="AA39" i="1"/>
  <c r="AA119" i="1"/>
  <c r="AA119" i="4"/>
  <c r="AA159" i="1"/>
  <c r="AA79" i="1"/>
  <c r="AA79" i="4"/>
</calcChain>
</file>

<file path=xl/sharedStrings.xml><?xml version="1.0" encoding="utf-8"?>
<sst xmlns="http://schemas.openxmlformats.org/spreadsheetml/2006/main" count="448" uniqueCount="54">
  <si>
    <t>入荷量</t>
    <rPh sb="0" eb="3">
      <t>ニュウカリョウ</t>
    </rPh>
    <phoneticPr fontId="5"/>
  </si>
  <si>
    <t>卸売価格</t>
    <rPh sb="0" eb="2">
      <t>オロシウリ</t>
    </rPh>
    <rPh sb="2" eb="4">
      <t>カカク</t>
    </rPh>
    <phoneticPr fontId="5"/>
  </si>
  <si>
    <t>平均価格</t>
    <rPh sb="0" eb="2">
      <t>ヘイキン</t>
    </rPh>
    <rPh sb="2" eb="4">
      <t>カカク</t>
    </rPh>
    <phoneticPr fontId="5"/>
  </si>
  <si>
    <t>トン</t>
  </si>
  <si>
    <t>福岡市</t>
    <rPh sb="0" eb="3">
      <t>フクオカシ</t>
    </rPh>
    <phoneticPr fontId="6"/>
  </si>
  <si>
    <t>にんじん</t>
  </si>
  <si>
    <t>大阪市</t>
    <rPh sb="0" eb="3">
      <t>オオサカシ</t>
    </rPh>
    <phoneticPr fontId="6"/>
  </si>
  <si>
    <t>名古屋市</t>
    <rPh sb="0" eb="4">
      <t>ナゴヤシ</t>
    </rPh>
    <phoneticPr fontId="6"/>
  </si>
  <si>
    <t>東京都</t>
    <rPh sb="0" eb="2">
      <t>トウキョウ</t>
    </rPh>
    <rPh sb="2" eb="3">
      <t>ト</t>
    </rPh>
    <phoneticPr fontId="6"/>
  </si>
  <si>
    <t>だいこん</t>
  </si>
  <si>
    <t>　　1．「だいこん」の卸売数量と価格の推移　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4"/>
  </si>
  <si>
    <t>　　２．「にんじん」の卸売数量と価格の推移　</t>
    <rPh sb="11" eb="13">
      <t>オロシウリ</t>
    </rPh>
    <rPh sb="13" eb="15">
      <t>スウリョウ</t>
    </rPh>
    <rPh sb="16" eb="18">
      <t>カカク</t>
    </rPh>
    <rPh sb="19" eb="21">
      <t>スイイ</t>
    </rPh>
    <phoneticPr fontId="4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</si>
  <si>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</si>
  <si>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（名古屋市中央卸売市場）</t>
    </r>
    <rPh sb="12" eb="16">
      <t>ナゴヤシ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</si>
  <si>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（大阪市中央卸売市場）</t>
    </r>
    <rPh sb="12" eb="14">
      <t>オオサカ</t>
    </rPh>
    <rPh sb="14" eb="15">
      <t>シ</t>
    </rPh>
    <rPh sb="15" eb="17">
      <t>チュウオウ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</si>
  <si>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（福岡市中央卸売市場）</t>
    </r>
    <rPh sb="12" eb="14">
      <t>フクオカ</t>
    </rPh>
    <rPh sb="14" eb="15">
      <t>シ</t>
    </rPh>
    <rPh sb="15" eb="17">
      <t>チュウオウ</t>
    </rPh>
    <phoneticPr fontId="5"/>
  </si>
  <si>
    <r>
      <t>　　　　　　　　　　　</t>
    </r>
    <r>
      <rPr>
        <b/>
        <sz val="10"/>
        <rFont val="ＭＳ Ｐゴシック"/>
        <family val="3"/>
        <charset val="128"/>
      </rPr>
      <t>（東京都中央卸売市場）</t>
    </r>
    <phoneticPr fontId="5"/>
  </si>
  <si>
    <t>平均価格</t>
    <rPh sb="0" eb="2">
      <t>ヘイキン</t>
    </rPh>
    <rPh sb="2" eb="4">
      <t>カカク</t>
    </rPh>
    <phoneticPr fontId="7"/>
  </si>
  <si>
    <t>卸売価格</t>
    <rPh sb="0" eb="2">
      <t>オロシウリ</t>
    </rPh>
    <rPh sb="2" eb="4">
      <t>カカク</t>
    </rPh>
    <phoneticPr fontId="8"/>
  </si>
  <si>
    <t>入荷量</t>
    <rPh sb="0" eb="3">
      <t>ニュウカリョウ</t>
    </rPh>
    <phoneticPr fontId="8"/>
  </si>
  <si>
    <t>平年比</t>
    <rPh sb="0" eb="2">
      <t>ヘイネン</t>
    </rPh>
    <rPh sb="2" eb="3">
      <t>ヒ</t>
    </rPh>
    <phoneticPr fontId="4"/>
  </si>
  <si>
    <t>9</t>
  </si>
  <si>
    <t>26</t>
  </si>
  <si>
    <t>28</t>
  </si>
  <si>
    <t>　　　資料：alic「ベジ探」、（原資料）農林水産省「青果物卸売市場調査（日別調査）結果」</t>
  </si>
  <si>
    <t>16</t>
  </si>
  <si>
    <t>23</t>
  </si>
  <si>
    <t>13</t>
  </si>
  <si>
    <t>20</t>
  </si>
  <si>
    <t>27</t>
  </si>
  <si>
    <t>6</t>
  </si>
  <si>
    <t>12</t>
  </si>
  <si>
    <t>19</t>
  </si>
  <si>
    <t>30</t>
  </si>
  <si>
    <t>7</t>
  </si>
  <si>
    <t>14</t>
  </si>
  <si>
    <t>21</t>
  </si>
  <si>
    <t>4</t>
  </si>
  <si>
    <t>11</t>
  </si>
  <si>
    <t>18</t>
  </si>
  <si>
    <t>25</t>
  </si>
  <si>
    <t>2</t>
  </si>
  <si>
    <t>8</t>
  </si>
  <si>
    <t>15</t>
  </si>
  <si>
    <t>22</t>
  </si>
  <si>
    <t>29</t>
  </si>
  <si>
    <t>6/1</t>
  </si>
  <si>
    <t>5</t>
  </si>
  <si>
    <t>7/2</t>
  </si>
  <si>
    <t>3</t>
  </si>
  <si>
    <t>10</t>
  </si>
  <si>
    <t>17</t>
  </si>
  <si>
    <t>24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</si>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</sst>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m/d;@"/>
    <numFmt numFmtId="178" formatCode="[$-411]ggge&quot;年&quot;m&quot;月&quot;"/>
  </numFmts>
  <fonts count="55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7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3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  <scheme val="minor"/>
    </font>
    <font>
      <b/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  <scheme val="minor"/>
    </font>
    <font>
      <sz val="8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  <scheme val="minor"/>
    </font>
    <font>
      <b/>
      <sz val="10"/>
      <color indexed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7"/>
      <color indexed="10"/>
      <name val="ＭＳ Ｐゴシック"/>
      <family val="3"/>
      <charset val="128"/>
      <scheme val="minor"/>
    </font>
    <font>
      <b/>
      <sz val="10"/>
      <color rgb="FFFF0000"/>
      <name val="BIZ UDP明朝 Medium"/>
      <family val="1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2"/>
      <name val="ＭＳ Ｐ明朝"/>
      <family val="1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5">
    <xf numFmtId="0" fontId="0" fillId="0" borderId="0">
      <alignment vertical="center"/>
    </xf>
    <xf numFmtId="38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8" borderId="17" applyNumberFormat="0" applyAlignment="0" applyProtection="0">
      <alignment vertical="center"/>
    </xf>
    <xf numFmtId="0" fontId="45" fillId="9" borderId="18" applyNumberFormat="0" applyAlignment="0" applyProtection="0">
      <alignment vertical="center"/>
    </xf>
    <xf numFmtId="0" fontId="46" fillId="9" borderId="17" applyNumberFormat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48" fillId="10" borderId="20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22" applyNumberFormat="0" applyFill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1" fillId="11" borderId="21" applyNumberFormat="0" applyFont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4" fillId="0" borderId="0"/>
    <xf numFmtId="38" fontId="5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5">
    <xf numFmtId="0" fontId="0" fillId="0" borderId="0" xfId="0">
      <alignment vertical="center"/>
    </xf>
    <xf numFmtId="38" fontId="16" fillId="0" borderId="0" xfId="1" applyFont="1">
      <alignment vertical="center"/>
    </xf>
    <xf numFmtId="38" fontId="18" fillId="0" borderId="0" xfId="1" applyFont="1" applyAlignment="1">
      <alignment horizontal="center" vertical="center"/>
    </xf>
    <xf numFmtId="38" fontId="16" fillId="0" borderId="0" xfId="1" applyFont="1" applyBorder="1">
      <alignment vertical="center"/>
    </xf>
    <xf numFmtId="38" fontId="6" fillId="0" borderId="0" xfId="1" applyFont="1" applyBorder="1" applyAlignment="1">
      <alignment horizontal="center" vertical="center"/>
    </xf>
    <xf numFmtId="0" fontId="19" fillId="0" borderId="0" xfId="0" applyFont="1">
      <alignment vertical="center"/>
    </xf>
    <xf numFmtId="0" fontId="0" fillId="2" borderId="0" xfId="0" applyFill="1">
      <alignment vertical="center"/>
    </xf>
    <xf numFmtId="38" fontId="20" fillId="2" borderId="0" xfId="1" applyFont="1" applyFill="1" applyBorder="1" applyAlignment="1">
      <alignment horizontal="center" vertical="center"/>
    </xf>
    <xf numFmtId="0" fontId="16" fillId="0" borderId="0" xfId="1" applyNumberFormat="1" applyFont="1" applyBorder="1">
      <alignment vertical="center"/>
    </xf>
    <xf numFmtId="0" fontId="16" fillId="2" borderId="0" xfId="1" applyNumberFormat="1" applyFont="1" applyFill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3" borderId="0" xfId="0" applyFill="1">
      <alignment vertical="center"/>
    </xf>
    <xf numFmtId="38" fontId="17" fillId="0" borderId="0" xfId="1" applyFont="1">
      <alignment vertical="center"/>
    </xf>
    <xf numFmtId="0" fontId="0" fillId="3" borderId="3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4" xfId="0" applyFill="1" applyBorder="1">
      <alignment vertical="center"/>
    </xf>
    <xf numFmtId="38" fontId="6" fillId="0" borderId="5" xfId="1" applyFont="1" applyBorder="1" applyAlignment="1">
      <alignment horizontal="center" vertical="center"/>
    </xf>
    <xf numFmtId="38" fontId="6" fillId="0" borderId="6" xfId="1" applyFont="1" applyBorder="1" applyAlignment="1">
      <alignment horizontal="center" vertical="center"/>
    </xf>
    <xf numFmtId="38" fontId="6" fillId="0" borderId="7" xfId="1" applyFont="1" applyBorder="1" applyAlignment="1">
      <alignment horizontal="center" vertical="center"/>
    </xf>
    <xf numFmtId="178" fontId="10" fillId="4" borderId="8" xfId="1" applyNumberFormat="1" applyFont="1" applyFill="1" applyBorder="1" applyAlignment="1">
      <alignment horizontal="right" vertical="center"/>
    </xf>
    <xf numFmtId="38" fontId="16" fillId="3" borderId="9" xfId="1" applyFont="1" applyFill="1" applyBorder="1">
      <alignment vertical="center"/>
    </xf>
    <xf numFmtId="0" fontId="0" fillId="0" borderId="10" xfId="0" applyBorder="1">
      <alignment vertical="center"/>
    </xf>
    <xf numFmtId="0" fontId="13" fillId="0" borderId="0" xfId="0" applyFont="1">
      <alignment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>
      <alignment vertical="center"/>
    </xf>
    <xf numFmtId="178" fontId="10" fillId="0" borderId="8" xfId="1" applyNumberFormat="1" applyFont="1" applyFill="1" applyBorder="1" applyAlignment="1">
      <alignment horizontal="right" vertical="center"/>
    </xf>
    <xf numFmtId="38" fontId="16" fillId="0" borderId="0" xfId="1" applyFont="1" applyBorder="1" applyAlignment="1">
      <alignment horizontal="center" vertical="center"/>
    </xf>
    <xf numFmtId="38" fontId="11" fillId="0" borderId="0" xfId="1" applyFont="1" applyBorder="1">
      <alignment vertical="center"/>
    </xf>
    <xf numFmtId="38" fontId="16" fillId="0" borderId="0" xfId="1" applyFont="1" applyFill="1">
      <alignment vertical="center"/>
    </xf>
    <xf numFmtId="38" fontId="16" fillId="0" borderId="0" xfId="1" applyFont="1" applyFill="1" applyBorder="1">
      <alignment vertical="center"/>
    </xf>
    <xf numFmtId="38" fontId="16" fillId="0" borderId="0" xfId="1" applyFont="1" applyFill="1" applyBorder="1" applyAlignment="1">
      <alignment horizontal="center" vertical="center"/>
    </xf>
    <xf numFmtId="38" fontId="11" fillId="0" borderId="0" xfId="1" applyFont="1" applyFill="1" applyBorder="1">
      <alignment vertical="center"/>
    </xf>
    <xf numFmtId="38" fontId="16" fillId="2" borderId="0" xfId="1" applyFont="1" applyFill="1" applyBorder="1">
      <alignment vertical="center"/>
    </xf>
    <xf numFmtId="38" fontId="15" fillId="0" borderId="2" xfId="1" applyFont="1" applyBorder="1">
      <alignment vertical="center"/>
    </xf>
    <xf numFmtId="38" fontId="21" fillId="0" borderId="0" xfId="1" applyFont="1" applyAlignment="1">
      <alignment horizontal="center" vertical="center"/>
    </xf>
    <xf numFmtId="38" fontId="24" fillId="0" borderId="2" xfId="1" applyFont="1" applyBorder="1">
      <alignment vertical="center"/>
    </xf>
    <xf numFmtId="0" fontId="0" fillId="0" borderId="13" xfId="0" quotePrefix="1" applyBorder="1" applyAlignment="1">
      <alignment horizontal="center" vertical="center"/>
    </xf>
    <xf numFmtId="0" fontId="27" fillId="0" borderId="0" xfId="0" applyFont="1" applyAlignment="1">
      <alignment vertical="top"/>
    </xf>
    <xf numFmtId="38" fontId="27" fillId="0" borderId="0" xfId="1" applyFont="1" applyAlignment="1">
      <alignment vertical="top"/>
    </xf>
    <xf numFmtId="38" fontId="28" fillId="0" borderId="0" xfId="1" applyFont="1" applyAlignment="1">
      <alignment horizontal="center" vertical="top"/>
    </xf>
    <xf numFmtId="38" fontId="28" fillId="0" borderId="0" xfId="1" applyFont="1" applyAlignment="1">
      <alignment vertical="top"/>
    </xf>
    <xf numFmtId="38" fontId="29" fillId="0" borderId="0" xfId="1" applyFont="1" applyBorder="1" applyAlignment="1">
      <alignment horizontal="center" vertical="top"/>
    </xf>
    <xf numFmtId="38" fontId="32" fillId="0" borderId="2" xfId="1" applyFont="1" applyBorder="1">
      <alignment vertical="center"/>
    </xf>
    <xf numFmtId="38" fontId="34" fillId="0" borderId="0" xfId="1" applyFont="1" applyAlignment="1">
      <alignment horizontal="center" vertical="center"/>
    </xf>
    <xf numFmtId="38" fontId="31" fillId="0" borderId="0" xfId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38" fontId="15" fillId="0" borderId="2" xfId="1" applyFont="1" applyBorder="1" applyAlignment="1">
      <alignment vertical="center" shrinkToFit="1"/>
    </xf>
    <xf numFmtId="0" fontId="35" fillId="0" borderId="0" xfId="0" applyFont="1">
      <alignment vertical="center"/>
    </xf>
    <xf numFmtId="38" fontId="36" fillId="0" borderId="0" xfId="1" applyFont="1" applyAlignment="1">
      <alignment horizontal="center" vertical="center"/>
    </xf>
    <xf numFmtId="178" fontId="14" fillId="0" borderId="2" xfId="1" applyNumberFormat="1" applyFont="1" applyFill="1" applyBorder="1" applyAlignment="1">
      <alignment horizontal="center" vertical="center"/>
    </xf>
    <xf numFmtId="177" fontId="22" fillId="0" borderId="2" xfId="1" quotePrefix="1" applyNumberFormat="1" applyFont="1" applyBorder="1" applyAlignment="1">
      <alignment horizontal="center" vertical="center"/>
    </xf>
    <xf numFmtId="38" fontId="14" fillId="0" borderId="2" xfId="1" applyFont="1" applyBorder="1" applyAlignment="1">
      <alignment horizontal="center" vertical="center"/>
    </xf>
    <xf numFmtId="38" fontId="23" fillId="0" borderId="2" xfId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9" fontId="26" fillId="0" borderId="2" xfId="3" applyFont="1" applyBorder="1" applyAlignment="1">
      <alignment vertical="center" shrinkToFit="1"/>
    </xf>
    <xf numFmtId="9" fontId="30" fillId="0" borderId="2" xfId="3" applyFont="1" applyBorder="1" applyAlignment="1">
      <alignment vertical="center" shrinkToFit="1"/>
    </xf>
    <xf numFmtId="177" fontId="25" fillId="0" borderId="2" xfId="1" quotePrefix="1" applyNumberFormat="1" applyFont="1" applyBorder="1" applyAlignment="1">
      <alignment horizontal="center" vertical="center"/>
    </xf>
    <xf numFmtId="176" fontId="25" fillId="0" borderId="2" xfId="1" quotePrefix="1" applyNumberFormat="1" applyFont="1" applyBorder="1" applyAlignment="1">
      <alignment horizontal="center" vertical="center"/>
    </xf>
    <xf numFmtId="176" fontId="22" fillId="0" borderId="2" xfId="1" quotePrefix="1" applyNumberFormat="1" applyFont="1" applyBorder="1" applyAlignment="1">
      <alignment horizontal="center" vertical="center"/>
    </xf>
    <xf numFmtId="0" fontId="25" fillId="0" borderId="2" xfId="1" quotePrefix="1" applyNumberFormat="1" applyFont="1" applyBorder="1" applyAlignment="1">
      <alignment horizontal="center" vertical="center"/>
    </xf>
    <xf numFmtId="0" fontId="22" fillId="0" borderId="2" xfId="1" quotePrefix="1" applyNumberFormat="1" applyFont="1" applyBorder="1" applyAlignment="1">
      <alignment horizontal="center" vertical="center"/>
    </xf>
    <xf numFmtId="177" fontId="14" fillId="0" borderId="2" xfId="1" quotePrefix="1" applyNumberFormat="1" applyFont="1" applyBorder="1" applyAlignment="1">
      <alignment horizontal="center" vertical="center"/>
    </xf>
    <xf numFmtId="38" fontId="14" fillId="0" borderId="2" xfId="1" quotePrefix="1" applyFont="1" applyBorder="1" applyAlignment="1">
      <alignment horizontal="center" vertical="center"/>
    </xf>
    <xf numFmtId="38" fontId="23" fillId="0" borderId="2" xfId="1" quotePrefix="1" applyFont="1" applyBorder="1" applyAlignment="1">
      <alignment horizontal="center" vertical="center"/>
    </xf>
    <xf numFmtId="9" fontId="33" fillId="0" borderId="2" xfId="3" applyFont="1" applyBorder="1" applyAlignment="1">
      <alignment vertical="center" shrinkToFit="1"/>
    </xf>
    <xf numFmtId="0" fontId="37" fillId="0" borderId="0" xfId="2" applyFont="1" applyAlignment="1">
      <alignment horizontal="center" vertical="center"/>
    </xf>
    <xf numFmtId="0" fontId="1" fillId="0" borderId="0" xfId="41">
      <alignment vertical="center"/>
    </xf>
    <xf numFmtId="38" fontId="16" fillId="0" borderId="12" xfId="42" applyFont="1" applyBorder="1" applyAlignment="1">
      <alignment horizontal="center" vertical="center"/>
    </xf>
    <xf numFmtId="38" fontId="16" fillId="0" borderId="12" xfId="42" quotePrefix="1" applyFont="1" applyBorder="1" applyAlignment="1">
      <alignment horizontal="center" vertical="center"/>
    </xf>
    <xf numFmtId="38" fontId="11" fillId="0" borderId="12" xfId="42" quotePrefix="1" applyFont="1" applyBorder="1" applyAlignment="1">
      <alignment horizontal="center" vertical="center"/>
    </xf>
    <xf numFmtId="38" fontId="11" fillId="0" borderId="12" xfId="42" applyFont="1" applyBorder="1" applyAlignment="1">
      <alignment horizontal="center" vertical="center"/>
    </xf>
    <xf numFmtId="38" fontId="11" fillId="0" borderId="13" xfId="42" applyFont="1" applyBorder="1" applyAlignment="1">
      <alignment horizontal="center" vertical="center"/>
    </xf>
    <xf numFmtId="38" fontId="16" fillId="0" borderId="2" xfId="42" applyFont="1" applyBorder="1">
      <alignment vertical="center"/>
    </xf>
    <xf numFmtId="38" fontId="11" fillId="0" borderId="2" xfId="42" applyFont="1" applyBorder="1">
      <alignment vertical="center"/>
    </xf>
    <xf numFmtId="38" fontId="16" fillId="0" borderId="0" xfId="42" applyFont="1" applyBorder="1">
      <alignment vertical="center"/>
    </xf>
    <xf numFmtId="38" fontId="16" fillId="0" borderId="4" xfId="42" applyFont="1" applyBorder="1">
      <alignment vertical="center"/>
    </xf>
    <xf numFmtId="177" fontId="16" fillId="0" borderId="23" xfId="42" quotePrefix="1" applyNumberFormat="1" applyFont="1" applyBorder="1" applyAlignment="1">
      <alignment horizontal="center" vertical="center"/>
    </xf>
    <xf numFmtId="38" fontId="16" fillId="0" borderId="24" xfId="42" applyFont="1" applyBorder="1">
      <alignment vertical="center"/>
    </xf>
    <xf numFmtId="38" fontId="11" fillId="0" borderId="24" xfId="42" applyFont="1" applyBorder="1">
      <alignment vertical="center"/>
    </xf>
    <xf numFmtId="38" fontId="16" fillId="0" borderId="25" xfId="42" applyFont="1" applyBorder="1">
      <alignment vertical="center"/>
    </xf>
    <xf numFmtId="0" fontId="1" fillId="0" borderId="2" xfId="41" applyBorder="1">
      <alignment vertical="center"/>
    </xf>
    <xf numFmtId="0" fontId="1" fillId="0" borderId="9" xfId="41" applyBorder="1">
      <alignment vertical="center"/>
    </xf>
    <xf numFmtId="38" fontId="1" fillId="36" borderId="0" xfId="42" applyFont="1" applyFill="1" applyBorder="1">
      <alignment vertical="center"/>
    </xf>
  </cellXfs>
  <cellStyles count="55">
    <cellStyle name="20% - アクセント 1" xfId="24" builtinId="30" customBuiltin="1"/>
    <cellStyle name="20% - アクセント 2" xfId="27" builtinId="34" customBuiltin="1"/>
    <cellStyle name="20% - アクセント 3" xfId="30" builtinId="38" customBuiltin="1"/>
    <cellStyle name="20% - アクセント 4" xfId="33" builtinId="42" customBuiltin="1"/>
    <cellStyle name="20% - アクセント 5" xfId="36" builtinId="46" customBuiltin="1"/>
    <cellStyle name="20% - アクセント 6" xfId="39" builtinId="50" customBuiltin="1"/>
    <cellStyle name="40% - アクセント 1" xfId="25" builtinId="31" customBuiltin="1"/>
    <cellStyle name="40% - アクセント 2" xfId="28" builtinId="35" customBuiltin="1"/>
    <cellStyle name="40% - アクセント 3" xfId="31" builtinId="39" customBuiltin="1"/>
    <cellStyle name="40% - アクセント 4" xfId="34" builtinId="43" customBuiltin="1"/>
    <cellStyle name="40% - アクセント 5" xfId="37" builtinId="47" customBuiltin="1"/>
    <cellStyle name="40% - アクセント 6" xfId="40" builtinId="51" customBuiltin="1"/>
    <cellStyle name="60% - アクセント 1 2" xfId="46" xr:uid="{ABF6C69A-5438-4445-8364-F68DA5C392F4}"/>
    <cellStyle name="60% - アクセント 2 2" xfId="47" xr:uid="{E5505DB1-F51F-472E-BA3D-4B1C21D345FC}"/>
    <cellStyle name="60% - アクセント 3 2" xfId="48" xr:uid="{75DED33C-EA23-419C-9E1F-D4046F489EC4}"/>
    <cellStyle name="60% - アクセント 4 2" xfId="49" xr:uid="{FA2F1D05-72A5-4B8F-AC5D-7A7DB97ED7BD}"/>
    <cellStyle name="60% - アクセント 5 2" xfId="50" xr:uid="{9721BE2D-7DD8-482E-A11E-3AF352ABD34C}"/>
    <cellStyle name="60% - アクセント 6 2" xfId="51" xr:uid="{21472882-D570-4ECA-907E-E3CFEF0ED0BB}"/>
    <cellStyle name="アクセント 1" xfId="23" builtinId="29" customBuiltin="1"/>
    <cellStyle name="アクセント 2" xfId="26" builtinId="33" customBuiltin="1"/>
    <cellStyle name="アクセント 3" xfId="29" builtinId="37" customBuiltin="1"/>
    <cellStyle name="アクセント 4" xfId="32" builtinId="41" customBuiltin="1"/>
    <cellStyle name="アクセント 5" xfId="35" builtinId="45" customBuiltin="1"/>
    <cellStyle name="アクセント 6" xfId="38" builtinId="49" customBuiltin="1"/>
    <cellStyle name="タイトル" xfId="8" builtinId="15" customBuiltin="1"/>
    <cellStyle name="チェック セル" xfId="19" builtinId="23" customBuiltin="1"/>
    <cellStyle name="どちらでもない 2" xfId="44" xr:uid="{135A5D6B-5B7B-4E87-BB68-E8A720F260DE}"/>
    <cellStyle name="パーセント" xfId="3" builtinId="5"/>
    <cellStyle name="パーセント 2" xfId="43" xr:uid="{7F88B676-8A4F-40E6-860E-4A1E237E02EE}"/>
    <cellStyle name="メモ 2" xfId="45" xr:uid="{822E1CB3-F10B-4894-93DF-098F2746564B}"/>
    <cellStyle name="リンク セル" xfId="18" builtinId="24" customBuiltin="1"/>
    <cellStyle name="悪い" xfId="14" builtinId="27" customBuiltin="1"/>
    <cellStyle name="計算" xfId="17" builtinId="22" customBuiltin="1"/>
    <cellStyle name="警告文" xfId="20" builtinId="11" customBuiltin="1"/>
    <cellStyle name="桁区切り" xfId="1" builtinId="6"/>
    <cellStyle name="桁区切り 2" xfId="53" xr:uid="{74308474-BB96-47AC-BEA0-EF2E2A23D6EC}"/>
    <cellStyle name="桁区切り 3" xfId="42" xr:uid="{FC6D05DA-C3E5-46CD-BF87-64B164EDB4A6}"/>
    <cellStyle name="桁区切り 4" xfId="5" xr:uid="{00000000-0005-0000-0000-000002000000}"/>
    <cellStyle name="桁区切り 4 2" xfId="7" xr:uid="{00000000-0005-0000-0000-000003000000}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集計" xfId="22" builtinId="25" customBuiltin="1"/>
    <cellStyle name="出力" xfId="16" builtinId="21" customBuiltin="1"/>
    <cellStyle name="説明文" xfId="21" builtinId="53" customBuiltin="1"/>
    <cellStyle name="入力" xfId="15" builtinId="20" customBuiltin="1"/>
    <cellStyle name="標準" xfId="0" builtinId="0"/>
    <cellStyle name="標準 2" xfId="54" xr:uid="{ADDDC91F-9F4D-4E36-A6D7-2A0CBC36BA4D}"/>
    <cellStyle name="標準 3" xfId="2" xr:uid="{00000000-0005-0000-0000-000005000000}"/>
    <cellStyle name="標準 3 2" xfId="52" xr:uid="{80BBECA6-629A-429E-98BA-A165026BF7F7}"/>
    <cellStyle name="標準 4" xfId="4" xr:uid="{00000000-0005-0000-0000-000006000000}"/>
    <cellStyle name="標準 4 2" xfId="6" xr:uid="{00000000-0005-0000-0000-000007000000}"/>
    <cellStyle name="標準 5" xfId="41" xr:uid="{E6F430C3-D04C-49D3-8BF3-D7F992EE5307}"/>
    <cellStyle name="良い" xfId="13" builtinId="26" customBuiltin="1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38500774687111E-2"/>
          <c:y val="8.6923924768777736E-2"/>
          <c:w val="0.91253337487065689"/>
          <c:h val="0.86221664697110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だいこん!$A$36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だいこん!$B$35:$AR$35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だいこん!$B$36:$AR$36</c:f>
              <c:numCache>
                <c:formatCode>#,##0_);[Red]\(#,##0\)</c:formatCode>
                <c:ptCount val="43"/>
                <c:pt idx="0">
                  <c:v>352.06799999999998</c:v>
                </c:pt>
                <c:pt idx="1">
                  <c:v>427.07299999999998</c:v>
                </c:pt>
                <c:pt idx="2">
                  <c:v>229.601</c:v>
                </c:pt>
                <c:pt idx="3">
                  <c:v>220.352</c:v>
                </c:pt>
                <c:pt idx="4">
                  <c:v>318.72000000000003</c:v>
                </c:pt>
                <c:pt idx="5">
                  <c:v>338</c:v>
                </c:pt>
                <c:pt idx="6">
                  <c:v>318.53699999999998</c:v>
                </c:pt>
                <c:pt idx="7">
                  <c:v>245.78399999999999</c:v>
                </c:pt>
                <c:pt idx="8">
                  <c:v>272.56900000000002</c:v>
                </c:pt>
                <c:pt idx="9">
                  <c:v>329.89400000000001</c:v>
                </c:pt>
                <c:pt idx="10">
                  <c:v>293.33800000000002</c:v>
                </c:pt>
                <c:pt idx="11">
                  <c:v>301.83800000000002</c:v>
                </c:pt>
                <c:pt idx="12">
                  <c:v>243.982</c:v>
                </c:pt>
                <c:pt idx="13">
                  <c:v>270.86700000000002</c:v>
                </c:pt>
                <c:pt idx="14">
                  <c:v>249.471</c:v>
                </c:pt>
                <c:pt idx="15">
                  <c:v>259.166</c:v>
                </c:pt>
                <c:pt idx="16">
                  <c:v>215.102</c:v>
                </c:pt>
                <c:pt idx="17">
                  <c:v>203.83099999999999</c:v>
                </c:pt>
                <c:pt idx="18">
                  <c:v>170.62299999999999</c:v>
                </c:pt>
                <c:pt idx="19">
                  <c:v>255.03399999999999</c:v>
                </c:pt>
                <c:pt idx="20">
                  <c:v>218.03200000000001</c:v>
                </c:pt>
                <c:pt idx="21">
                  <c:v>216.84700000000001</c:v>
                </c:pt>
                <c:pt idx="22">
                  <c:v>264.01400000000001</c:v>
                </c:pt>
                <c:pt idx="23">
                  <c:v>331.46300000000002</c:v>
                </c:pt>
                <c:pt idx="24">
                  <c:v>243.02600000000001</c:v>
                </c:pt>
                <c:pt idx="25">
                  <c:v>267.024</c:v>
                </c:pt>
                <c:pt idx="26">
                  <c:v>269.59899999999999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8-4233-B2F6-E4CE22FD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だいこん!$A$37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だいこん!$B$35:$AR$35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だいこん!$B$37:$AR$37</c:f>
              <c:numCache>
                <c:formatCode>#,##0_);[Red]\(#,##0\)</c:formatCode>
                <c:ptCount val="43"/>
                <c:pt idx="0">
                  <c:v>81</c:v>
                </c:pt>
                <c:pt idx="1">
                  <c:v>75</c:v>
                </c:pt>
                <c:pt idx="2">
                  <c:v>93</c:v>
                </c:pt>
                <c:pt idx="3">
                  <c:v>93</c:v>
                </c:pt>
                <c:pt idx="4">
                  <c:v>93</c:v>
                </c:pt>
                <c:pt idx="5">
                  <c:v>90</c:v>
                </c:pt>
                <c:pt idx="6">
                  <c:v>100</c:v>
                </c:pt>
                <c:pt idx="7">
                  <c:v>112</c:v>
                </c:pt>
                <c:pt idx="8">
                  <c:v>111</c:v>
                </c:pt>
                <c:pt idx="9">
                  <c:v>115</c:v>
                </c:pt>
                <c:pt idx="10">
                  <c:v>112</c:v>
                </c:pt>
                <c:pt idx="11">
                  <c:v>109</c:v>
                </c:pt>
                <c:pt idx="12">
                  <c:v>110</c:v>
                </c:pt>
                <c:pt idx="13">
                  <c:v>108</c:v>
                </c:pt>
                <c:pt idx="14">
                  <c:v>108</c:v>
                </c:pt>
                <c:pt idx="15">
                  <c:v>116</c:v>
                </c:pt>
                <c:pt idx="16">
                  <c:v>115</c:v>
                </c:pt>
                <c:pt idx="17">
                  <c:v>122</c:v>
                </c:pt>
                <c:pt idx="18">
                  <c:v>136</c:v>
                </c:pt>
                <c:pt idx="19">
                  <c:v>135</c:v>
                </c:pt>
                <c:pt idx="20">
                  <c:v>149</c:v>
                </c:pt>
                <c:pt idx="21">
                  <c:v>142</c:v>
                </c:pt>
                <c:pt idx="22">
                  <c:v>147</c:v>
                </c:pt>
                <c:pt idx="23">
                  <c:v>145</c:v>
                </c:pt>
                <c:pt idx="24">
                  <c:v>147</c:v>
                </c:pt>
                <c:pt idx="25">
                  <c:v>149</c:v>
                </c:pt>
                <c:pt idx="26">
                  <c:v>148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8-4233-B2F6-E4CE22FD9D5E}"/>
            </c:ext>
          </c:extLst>
        </c:ser>
        <c:ser>
          <c:idx val="2"/>
          <c:order val="2"/>
          <c:tx>
            <c:strRef>
              <c:f>だいこん!$A$38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だいこん!$B$35:$AR$35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だいこん!$B$38:$AR$38</c:f>
              <c:numCache>
                <c:formatCode>#,##0_);[Red]\(#,##0\)</c:formatCode>
                <c:ptCount val="43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104</c:v>
                </c:pt>
                <c:pt idx="4">
                  <c:v>104</c:v>
                </c:pt>
                <c:pt idx="5">
                  <c:v>104</c:v>
                </c:pt>
                <c:pt idx="6">
                  <c:v>104</c:v>
                </c:pt>
                <c:pt idx="7">
                  <c:v>104</c:v>
                </c:pt>
                <c:pt idx="8">
                  <c:v>104</c:v>
                </c:pt>
                <c:pt idx="9">
                  <c:v>104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104</c:v>
                </c:pt>
                <c:pt idx="14">
                  <c:v>104</c:v>
                </c:pt>
                <c:pt idx="15">
                  <c:v>98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112</c:v>
                </c:pt>
                <c:pt idx="23">
                  <c:v>112</c:v>
                </c:pt>
                <c:pt idx="24">
                  <c:v>112</c:v>
                </c:pt>
                <c:pt idx="25">
                  <c:v>112</c:v>
                </c:pt>
                <c:pt idx="26">
                  <c:v>112</c:v>
                </c:pt>
                <c:pt idx="27">
                  <c:v>112</c:v>
                </c:pt>
                <c:pt idx="28">
                  <c:v>112</c:v>
                </c:pt>
                <c:pt idx="29">
                  <c:v>102</c:v>
                </c:pt>
                <c:pt idx="30">
                  <c:v>102</c:v>
                </c:pt>
                <c:pt idx="31">
                  <c:v>102</c:v>
                </c:pt>
                <c:pt idx="32">
                  <c:v>102</c:v>
                </c:pt>
                <c:pt idx="33">
                  <c:v>102</c:v>
                </c:pt>
                <c:pt idx="34">
                  <c:v>102</c:v>
                </c:pt>
                <c:pt idx="35">
                  <c:v>102</c:v>
                </c:pt>
                <c:pt idx="36">
                  <c:v>102</c:v>
                </c:pt>
                <c:pt idx="37">
                  <c:v>102</c:v>
                </c:pt>
                <c:pt idx="38">
                  <c:v>102</c:v>
                </c:pt>
                <c:pt idx="39">
                  <c:v>102</c:v>
                </c:pt>
                <c:pt idx="40">
                  <c:v>102</c:v>
                </c:pt>
                <c:pt idx="41">
                  <c:v>102</c:v>
                </c:pt>
                <c:pt idx="4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18-4233-B2F6-E4CE22FD9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2940399"/>
        <c:axId val="1"/>
      </c:lineChart>
      <c:catAx>
        <c:axId val="8429403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2940399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5457517570695918"/>
          <c:y val="3.0041647285657036E-3"/>
          <c:w val="0.26178957224796223"/>
          <c:h val="8.087897681848131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72564171251554E-2"/>
          <c:y val="9.4795686538397914E-2"/>
          <c:w val="0.90885841709569937"/>
          <c:h val="0.85573071566308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だいこん!$A$76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だいこん!$B$75:$AR$75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だいこん!$B$76:$AR$76</c:f>
              <c:numCache>
                <c:formatCode>#,##0_);[Red]\(#,##0\)</c:formatCode>
                <c:ptCount val="43"/>
                <c:pt idx="0">
                  <c:v>76.070999999999998</c:v>
                </c:pt>
                <c:pt idx="1">
                  <c:v>53.302999999999997</c:v>
                </c:pt>
                <c:pt idx="2">
                  <c:v>36.195999999999998</c:v>
                </c:pt>
                <c:pt idx="3">
                  <c:v>55.908999999999999</c:v>
                </c:pt>
                <c:pt idx="4">
                  <c:v>69.414000000000001</c:v>
                </c:pt>
                <c:pt idx="5">
                  <c:v>64.429000000000002</c:v>
                </c:pt>
                <c:pt idx="6">
                  <c:v>48.494</c:v>
                </c:pt>
                <c:pt idx="7">
                  <c:v>51.405000000000001</c:v>
                </c:pt>
                <c:pt idx="8">
                  <c:v>61.100999999999999</c:v>
                </c:pt>
                <c:pt idx="9">
                  <c:v>77.545000000000002</c:v>
                </c:pt>
                <c:pt idx="10">
                  <c:v>54.610999999999997</c:v>
                </c:pt>
                <c:pt idx="11">
                  <c:v>46.100999999999999</c:v>
                </c:pt>
                <c:pt idx="12">
                  <c:v>61.088000000000001</c:v>
                </c:pt>
                <c:pt idx="13">
                  <c:v>68.787000000000006</c:v>
                </c:pt>
                <c:pt idx="14">
                  <c:v>47.113999999999997</c:v>
                </c:pt>
                <c:pt idx="15">
                  <c:v>80.180000000000007</c:v>
                </c:pt>
                <c:pt idx="16">
                  <c:v>50.238999999999997</c:v>
                </c:pt>
                <c:pt idx="17">
                  <c:v>33.942999999999998</c:v>
                </c:pt>
                <c:pt idx="18">
                  <c:v>71.227000000000004</c:v>
                </c:pt>
                <c:pt idx="19">
                  <c:v>42.177</c:v>
                </c:pt>
                <c:pt idx="20">
                  <c:v>100.815</c:v>
                </c:pt>
                <c:pt idx="21">
                  <c:v>74.498000000000005</c:v>
                </c:pt>
                <c:pt idx="22">
                  <c:v>56.648000000000003</c:v>
                </c:pt>
                <c:pt idx="23">
                  <c:v>67.275000000000006</c:v>
                </c:pt>
                <c:pt idx="24">
                  <c:v>62.274999999999999</c:v>
                </c:pt>
                <c:pt idx="25">
                  <c:v>68.959000000000003</c:v>
                </c:pt>
                <c:pt idx="26">
                  <c:v>71.048000000000002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0-46B9-AD7F-659F71BCD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だいこん!$A$77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だいこん!$B$75:$AR$75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だいこん!$B$77:$AR$77</c:f>
              <c:numCache>
                <c:formatCode>#,##0_);[Red]\(#,##0\)</c:formatCode>
                <c:ptCount val="43"/>
                <c:pt idx="0">
                  <c:v>106</c:v>
                </c:pt>
                <c:pt idx="1">
                  <c:v>111</c:v>
                </c:pt>
                <c:pt idx="2">
                  <c:v>115</c:v>
                </c:pt>
                <c:pt idx="3">
                  <c:v>103</c:v>
                </c:pt>
                <c:pt idx="4">
                  <c:v>109</c:v>
                </c:pt>
                <c:pt idx="5">
                  <c:v>114</c:v>
                </c:pt>
                <c:pt idx="6">
                  <c:v>109</c:v>
                </c:pt>
                <c:pt idx="7">
                  <c:v>110</c:v>
                </c:pt>
                <c:pt idx="8">
                  <c:v>113</c:v>
                </c:pt>
                <c:pt idx="9">
                  <c:v>119</c:v>
                </c:pt>
                <c:pt idx="10">
                  <c:v>123</c:v>
                </c:pt>
                <c:pt idx="11">
                  <c:v>131</c:v>
                </c:pt>
                <c:pt idx="12">
                  <c:v>123</c:v>
                </c:pt>
                <c:pt idx="13">
                  <c:v>115</c:v>
                </c:pt>
                <c:pt idx="14">
                  <c:v>127</c:v>
                </c:pt>
                <c:pt idx="15">
                  <c:v>124</c:v>
                </c:pt>
                <c:pt idx="16">
                  <c:v>132</c:v>
                </c:pt>
                <c:pt idx="17">
                  <c:v>144</c:v>
                </c:pt>
                <c:pt idx="18">
                  <c:v>137</c:v>
                </c:pt>
                <c:pt idx="19">
                  <c:v>147</c:v>
                </c:pt>
                <c:pt idx="20">
                  <c:v>134</c:v>
                </c:pt>
                <c:pt idx="21">
                  <c:v>138</c:v>
                </c:pt>
                <c:pt idx="22">
                  <c:v>155</c:v>
                </c:pt>
                <c:pt idx="23">
                  <c:v>139</c:v>
                </c:pt>
                <c:pt idx="24">
                  <c:v>149</c:v>
                </c:pt>
                <c:pt idx="25">
                  <c:v>154</c:v>
                </c:pt>
                <c:pt idx="26">
                  <c:v>151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0-46B9-AD7F-659F71BCD9F6}"/>
            </c:ext>
          </c:extLst>
        </c:ser>
        <c:ser>
          <c:idx val="2"/>
          <c:order val="2"/>
          <c:tx>
            <c:strRef>
              <c:f>だいこん!$A$78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だいこん!$B$75:$AR$75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だいこん!$B$78:$AR$78</c:f>
              <c:numCache>
                <c:formatCode>#,##0_);[Red]\(#,##0\)</c:formatCode>
                <c:ptCount val="43"/>
                <c:pt idx="0">
                  <c:v>111</c:v>
                </c:pt>
                <c:pt idx="1">
                  <c:v>111</c:v>
                </c:pt>
                <c:pt idx="2">
                  <c:v>111</c:v>
                </c:pt>
                <c:pt idx="3">
                  <c:v>111</c:v>
                </c:pt>
                <c:pt idx="4">
                  <c:v>111</c:v>
                </c:pt>
                <c:pt idx="5">
                  <c:v>111</c:v>
                </c:pt>
                <c:pt idx="6">
                  <c:v>111</c:v>
                </c:pt>
                <c:pt idx="7">
                  <c:v>116</c:v>
                </c:pt>
                <c:pt idx="8">
                  <c:v>116</c:v>
                </c:pt>
                <c:pt idx="9">
                  <c:v>116</c:v>
                </c:pt>
                <c:pt idx="10">
                  <c:v>116</c:v>
                </c:pt>
                <c:pt idx="11">
                  <c:v>116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104</c:v>
                </c:pt>
                <c:pt idx="16">
                  <c:v>104</c:v>
                </c:pt>
                <c:pt idx="17">
                  <c:v>104</c:v>
                </c:pt>
                <c:pt idx="18">
                  <c:v>104</c:v>
                </c:pt>
                <c:pt idx="19">
                  <c:v>104</c:v>
                </c:pt>
                <c:pt idx="20">
                  <c:v>104</c:v>
                </c:pt>
                <c:pt idx="21">
                  <c:v>104</c:v>
                </c:pt>
                <c:pt idx="22">
                  <c:v>112</c:v>
                </c:pt>
                <c:pt idx="23">
                  <c:v>112</c:v>
                </c:pt>
                <c:pt idx="24">
                  <c:v>112</c:v>
                </c:pt>
                <c:pt idx="25">
                  <c:v>112</c:v>
                </c:pt>
                <c:pt idx="26">
                  <c:v>112</c:v>
                </c:pt>
                <c:pt idx="27">
                  <c:v>112</c:v>
                </c:pt>
                <c:pt idx="28">
                  <c:v>112</c:v>
                </c:pt>
                <c:pt idx="29">
                  <c:v>106</c:v>
                </c:pt>
                <c:pt idx="30">
                  <c:v>106</c:v>
                </c:pt>
                <c:pt idx="31">
                  <c:v>106</c:v>
                </c:pt>
                <c:pt idx="32">
                  <c:v>106</c:v>
                </c:pt>
                <c:pt idx="33">
                  <c:v>106</c:v>
                </c:pt>
                <c:pt idx="34">
                  <c:v>106</c:v>
                </c:pt>
                <c:pt idx="35">
                  <c:v>109</c:v>
                </c:pt>
                <c:pt idx="36">
                  <c:v>109</c:v>
                </c:pt>
                <c:pt idx="37">
                  <c:v>109</c:v>
                </c:pt>
                <c:pt idx="38">
                  <c:v>109</c:v>
                </c:pt>
                <c:pt idx="39">
                  <c:v>109</c:v>
                </c:pt>
                <c:pt idx="40">
                  <c:v>109</c:v>
                </c:pt>
                <c:pt idx="41">
                  <c:v>109</c:v>
                </c:pt>
                <c:pt idx="42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70-46B9-AD7F-659F71BCD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002127"/>
        <c:axId val="1"/>
      </c:lineChart>
      <c:catAx>
        <c:axId val="84700212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700212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967952409706538"/>
          <c:y val="2.0996369951245481E-3"/>
          <c:w val="0.26220470822479192"/>
          <c:h val="9.7815038637598828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087838235230842E-2"/>
          <c:y val="7.0066914422027629E-2"/>
          <c:w val="0.91302439654059631"/>
          <c:h val="0.871987698412698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だいこん!$A$116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だいこん!$B$115:$AR$115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だいこん!$B$116:$AR$116</c:f>
              <c:numCache>
                <c:formatCode>#,##0_);[Red]\(#,##0\)</c:formatCode>
                <c:ptCount val="43"/>
                <c:pt idx="0">
                  <c:v>78.353999999999999</c:v>
                </c:pt>
                <c:pt idx="1">
                  <c:v>86.69</c:v>
                </c:pt>
                <c:pt idx="2">
                  <c:v>77.043000000000006</c:v>
                </c:pt>
                <c:pt idx="3">
                  <c:v>84.766999999999996</c:v>
                </c:pt>
                <c:pt idx="4">
                  <c:v>87.317999999999998</c:v>
                </c:pt>
                <c:pt idx="5">
                  <c:v>88.882999999999996</c:v>
                </c:pt>
                <c:pt idx="6">
                  <c:v>74.004000000000005</c:v>
                </c:pt>
                <c:pt idx="7">
                  <c:v>92.471000000000004</c:v>
                </c:pt>
                <c:pt idx="8">
                  <c:v>61.011000000000003</c:v>
                </c:pt>
                <c:pt idx="9">
                  <c:v>85.02</c:v>
                </c:pt>
                <c:pt idx="10">
                  <c:v>93.108999999999995</c:v>
                </c:pt>
                <c:pt idx="11">
                  <c:v>82.009</c:v>
                </c:pt>
                <c:pt idx="12">
                  <c:v>108.929</c:v>
                </c:pt>
                <c:pt idx="13">
                  <c:v>101.349</c:v>
                </c:pt>
                <c:pt idx="14">
                  <c:v>109.69799999999999</c:v>
                </c:pt>
                <c:pt idx="15">
                  <c:v>91.275999999999996</c:v>
                </c:pt>
                <c:pt idx="16">
                  <c:v>88.927000000000007</c:v>
                </c:pt>
                <c:pt idx="17">
                  <c:v>71.608999999999995</c:v>
                </c:pt>
                <c:pt idx="18">
                  <c:v>70.146000000000001</c:v>
                </c:pt>
                <c:pt idx="19">
                  <c:v>113.005</c:v>
                </c:pt>
                <c:pt idx="20">
                  <c:v>117.64</c:v>
                </c:pt>
                <c:pt idx="21">
                  <c:v>96.501000000000005</c:v>
                </c:pt>
                <c:pt idx="22">
                  <c:v>114.602</c:v>
                </c:pt>
                <c:pt idx="23">
                  <c:v>85.028999999999996</c:v>
                </c:pt>
                <c:pt idx="24">
                  <c:v>97.600999999999999</c:v>
                </c:pt>
                <c:pt idx="25">
                  <c:v>116.44199999999999</c:v>
                </c:pt>
                <c:pt idx="26">
                  <c:v>89.037999999999997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1-4F03-A9D9-C734B752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だいこん!$A$117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だいこん!$B$115:$AR$115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だいこん!$B$117:$AR$117</c:f>
              <c:numCache>
                <c:formatCode>#,##0_);[Red]\(#,##0\)</c:formatCode>
                <c:ptCount val="43"/>
                <c:pt idx="0">
                  <c:v>119</c:v>
                </c:pt>
                <c:pt idx="1">
                  <c:v>115</c:v>
                </c:pt>
                <c:pt idx="2">
                  <c:v>107</c:v>
                </c:pt>
                <c:pt idx="3">
                  <c:v>108</c:v>
                </c:pt>
                <c:pt idx="4">
                  <c:v>112</c:v>
                </c:pt>
                <c:pt idx="5">
                  <c:v>111</c:v>
                </c:pt>
                <c:pt idx="6">
                  <c:v>116</c:v>
                </c:pt>
                <c:pt idx="7">
                  <c:v>120</c:v>
                </c:pt>
                <c:pt idx="8">
                  <c:v>125</c:v>
                </c:pt>
                <c:pt idx="9">
                  <c:v>120</c:v>
                </c:pt>
                <c:pt idx="10">
                  <c:v>126</c:v>
                </c:pt>
                <c:pt idx="11">
                  <c:v>123</c:v>
                </c:pt>
                <c:pt idx="12">
                  <c:v>126</c:v>
                </c:pt>
                <c:pt idx="13">
                  <c:v>121</c:v>
                </c:pt>
                <c:pt idx="14">
                  <c:v>122</c:v>
                </c:pt>
                <c:pt idx="15">
                  <c:v>121</c:v>
                </c:pt>
                <c:pt idx="16">
                  <c:v>130</c:v>
                </c:pt>
                <c:pt idx="17">
                  <c:v>135</c:v>
                </c:pt>
                <c:pt idx="18">
                  <c:v>136</c:v>
                </c:pt>
                <c:pt idx="19">
                  <c:v>135</c:v>
                </c:pt>
                <c:pt idx="20">
                  <c:v>139</c:v>
                </c:pt>
                <c:pt idx="21">
                  <c:v>141</c:v>
                </c:pt>
                <c:pt idx="22">
                  <c:v>144</c:v>
                </c:pt>
                <c:pt idx="23">
                  <c:v>144</c:v>
                </c:pt>
                <c:pt idx="24">
                  <c:v>142</c:v>
                </c:pt>
                <c:pt idx="25">
                  <c:v>145</c:v>
                </c:pt>
                <c:pt idx="26">
                  <c:v>148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1-4F03-A9D9-C734B7524EFF}"/>
            </c:ext>
          </c:extLst>
        </c:ser>
        <c:ser>
          <c:idx val="2"/>
          <c:order val="2"/>
          <c:tx>
            <c:strRef>
              <c:f>だいこん!$A$118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だいこん!$B$115:$AR$115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だいこん!$B$118:$AR$118</c:f>
              <c:numCache>
                <c:formatCode>#,##0_);[Red]\(#,##0\)</c:formatCode>
                <c:ptCount val="43"/>
                <c:pt idx="0">
                  <c:v>116</c:v>
                </c:pt>
                <c:pt idx="1">
                  <c:v>116</c:v>
                </c:pt>
                <c:pt idx="2">
                  <c:v>116</c:v>
                </c:pt>
                <c:pt idx="3">
                  <c:v>116</c:v>
                </c:pt>
                <c:pt idx="4">
                  <c:v>116</c:v>
                </c:pt>
                <c:pt idx="5">
                  <c:v>116</c:v>
                </c:pt>
                <c:pt idx="6">
                  <c:v>116</c:v>
                </c:pt>
                <c:pt idx="7">
                  <c:v>113</c:v>
                </c:pt>
                <c:pt idx="8">
                  <c:v>113</c:v>
                </c:pt>
                <c:pt idx="9">
                  <c:v>113</c:v>
                </c:pt>
                <c:pt idx="10">
                  <c:v>113</c:v>
                </c:pt>
                <c:pt idx="11">
                  <c:v>113</c:v>
                </c:pt>
                <c:pt idx="12">
                  <c:v>113</c:v>
                </c:pt>
                <c:pt idx="13">
                  <c:v>113</c:v>
                </c:pt>
                <c:pt idx="14">
                  <c:v>113</c:v>
                </c:pt>
                <c:pt idx="15">
                  <c:v>102</c:v>
                </c:pt>
                <c:pt idx="16">
                  <c:v>102</c:v>
                </c:pt>
                <c:pt idx="17">
                  <c:v>102</c:v>
                </c:pt>
                <c:pt idx="18">
                  <c:v>102</c:v>
                </c:pt>
                <c:pt idx="19">
                  <c:v>102</c:v>
                </c:pt>
                <c:pt idx="20">
                  <c:v>102</c:v>
                </c:pt>
                <c:pt idx="21">
                  <c:v>102</c:v>
                </c:pt>
                <c:pt idx="22">
                  <c:v>104</c:v>
                </c:pt>
                <c:pt idx="23">
                  <c:v>104</c:v>
                </c:pt>
                <c:pt idx="24">
                  <c:v>104</c:v>
                </c:pt>
                <c:pt idx="25">
                  <c:v>104</c:v>
                </c:pt>
                <c:pt idx="26">
                  <c:v>104</c:v>
                </c:pt>
                <c:pt idx="27">
                  <c:v>104</c:v>
                </c:pt>
                <c:pt idx="28">
                  <c:v>104</c:v>
                </c:pt>
                <c:pt idx="29">
                  <c:v>99</c:v>
                </c:pt>
                <c:pt idx="30">
                  <c:v>99</c:v>
                </c:pt>
                <c:pt idx="31">
                  <c:v>99</c:v>
                </c:pt>
                <c:pt idx="32">
                  <c:v>99</c:v>
                </c:pt>
                <c:pt idx="33">
                  <c:v>99</c:v>
                </c:pt>
                <c:pt idx="34">
                  <c:v>99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31-4F03-A9D9-C734B7524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003375"/>
        <c:axId val="1"/>
      </c:lineChart>
      <c:catAx>
        <c:axId val="84700337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700337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638770285901865"/>
          <c:y val="2.5080522518542252E-3"/>
          <c:w val="0.27398720888261135"/>
          <c:h val="8.342164878320418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38866929447805E-2"/>
          <c:y val="9.3362767301117658E-2"/>
          <c:w val="0.91239201731420705"/>
          <c:h val="0.85287578164352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だいこん!$A$156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だいこん!$B$155:$AR$155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だいこん!$B$156:$AR$156</c:f>
              <c:numCache>
                <c:formatCode>#,##0_);[Red]\(#,##0\)</c:formatCode>
                <c:ptCount val="43"/>
                <c:pt idx="0">
                  <c:v>44.640999999999998</c:v>
                </c:pt>
                <c:pt idx="1">
                  <c:v>62.552</c:v>
                </c:pt>
                <c:pt idx="2">
                  <c:v>71.918999999999997</c:v>
                </c:pt>
                <c:pt idx="3">
                  <c:v>47.811</c:v>
                </c:pt>
                <c:pt idx="4">
                  <c:v>53.359000000000002</c:v>
                </c:pt>
                <c:pt idx="5">
                  <c:v>33.435000000000002</c:v>
                </c:pt>
                <c:pt idx="6">
                  <c:v>43.143000000000001</c:v>
                </c:pt>
                <c:pt idx="7">
                  <c:v>64.399000000000001</c:v>
                </c:pt>
                <c:pt idx="8">
                  <c:v>38.067999999999998</c:v>
                </c:pt>
                <c:pt idx="9">
                  <c:v>55.957000000000001</c:v>
                </c:pt>
                <c:pt idx="10">
                  <c:v>31.99</c:v>
                </c:pt>
                <c:pt idx="11">
                  <c:v>60.609000000000002</c:v>
                </c:pt>
                <c:pt idx="12">
                  <c:v>54.825000000000003</c:v>
                </c:pt>
                <c:pt idx="13">
                  <c:v>41.295999999999999</c:v>
                </c:pt>
                <c:pt idx="14">
                  <c:v>49.444000000000003</c:v>
                </c:pt>
                <c:pt idx="15">
                  <c:v>66.802999999999997</c:v>
                </c:pt>
                <c:pt idx="16">
                  <c:v>41.915999999999997</c:v>
                </c:pt>
                <c:pt idx="17">
                  <c:v>50.999000000000002</c:v>
                </c:pt>
                <c:pt idx="18">
                  <c:v>36.765999999999998</c:v>
                </c:pt>
                <c:pt idx="19">
                  <c:v>57.384</c:v>
                </c:pt>
                <c:pt idx="20">
                  <c:v>71.733000000000004</c:v>
                </c:pt>
                <c:pt idx="21">
                  <c:v>57.476999999999997</c:v>
                </c:pt>
                <c:pt idx="22">
                  <c:v>52.497999999999998</c:v>
                </c:pt>
                <c:pt idx="23">
                  <c:v>61.426000000000002</c:v>
                </c:pt>
                <c:pt idx="24">
                  <c:v>59.072000000000003</c:v>
                </c:pt>
                <c:pt idx="25">
                  <c:v>58.341999999999999</c:v>
                </c:pt>
                <c:pt idx="26">
                  <c:v>54.567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81B-B777-B4F8F4BCB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だいこん!$A$157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だいこん!$B$155:$AR$155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だいこん!$B$157:$AR$157</c:f>
              <c:numCache>
                <c:formatCode>#,##0_);[Red]\(#,##0\)</c:formatCode>
                <c:ptCount val="43"/>
                <c:pt idx="0">
                  <c:v>74</c:v>
                </c:pt>
                <c:pt idx="1">
                  <c:v>76</c:v>
                </c:pt>
                <c:pt idx="2">
                  <c:v>70</c:v>
                </c:pt>
                <c:pt idx="3">
                  <c:v>78</c:v>
                </c:pt>
                <c:pt idx="4">
                  <c:v>78</c:v>
                </c:pt>
                <c:pt idx="5">
                  <c:v>86</c:v>
                </c:pt>
                <c:pt idx="6">
                  <c:v>90</c:v>
                </c:pt>
                <c:pt idx="7">
                  <c:v>81</c:v>
                </c:pt>
                <c:pt idx="8">
                  <c:v>85</c:v>
                </c:pt>
                <c:pt idx="9">
                  <c:v>87</c:v>
                </c:pt>
                <c:pt idx="10">
                  <c:v>91</c:v>
                </c:pt>
                <c:pt idx="11">
                  <c:v>92</c:v>
                </c:pt>
                <c:pt idx="12">
                  <c:v>101</c:v>
                </c:pt>
                <c:pt idx="13">
                  <c:v>103</c:v>
                </c:pt>
                <c:pt idx="14">
                  <c:v>106</c:v>
                </c:pt>
                <c:pt idx="15">
                  <c:v>102</c:v>
                </c:pt>
                <c:pt idx="16">
                  <c:v>101</c:v>
                </c:pt>
                <c:pt idx="17">
                  <c:v>99</c:v>
                </c:pt>
                <c:pt idx="18">
                  <c:v>99</c:v>
                </c:pt>
                <c:pt idx="19">
                  <c:v>107</c:v>
                </c:pt>
                <c:pt idx="20">
                  <c:v>115</c:v>
                </c:pt>
                <c:pt idx="21">
                  <c:v>117</c:v>
                </c:pt>
                <c:pt idx="22">
                  <c:v>117</c:v>
                </c:pt>
                <c:pt idx="23">
                  <c:v>128</c:v>
                </c:pt>
                <c:pt idx="24">
                  <c:v>120</c:v>
                </c:pt>
                <c:pt idx="25">
                  <c:v>124</c:v>
                </c:pt>
                <c:pt idx="26">
                  <c:v>120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C7-481B-B777-B4F8F4BCB71F}"/>
            </c:ext>
          </c:extLst>
        </c:ser>
        <c:ser>
          <c:idx val="2"/>
          <c:order val="2"/>
          <c:tx>
            <c:strRef>
              <c:f>だいこん!$A$158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だいこん!$B$155:$AR$155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だいこん!$B$158:$AR$158</c:f>
              <c:numCache>
                <c:formatCode>#,##0_);[Red]\(#,##0\)</c:formatCode>
                <c:ptCount val="4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82</c:v>
                </c:pt>
                <c:pt idx="4">
                  <c:v>82</c:v>
                </c:pt>
                <c:pt idx="5">
                  <c:v>82</c:v>
                </c:pt>
                <c:pt idx="6">
                  <c:v>82</c:v>
                </c:pt>
                <c:pt idx="7">
                  <c:v>82</c:v>
                </c:pt>
                <c:pt idx="8">
                  <c:v>82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82</c:v>
                </c:pt>
                <c:pt idx="13">
                  <c:v>82</c:v>
                </c:pt>
                <c:pt idx="14">
                  <c:v>82</c:v>
                </c:pt>
                <c:pt idx="15">
                  <c:v>79</c:v>
                </c:pt>
                <c:pt idx="16">
                  <c:v>79</c:v>
                </c:pt>
                <c:pt idx="17">
                  <c:v>79</c:v>
                </c:pt>
                <c:pt idx="18">
                  <c:v>79</c:v>
                </c:pt>
                <c:pt idx="19">
                  <c:v>79</c:v>
                </c:pt>
                <c:pt idx="20">
                  <c:v>79</c:v>
                </c:pt>
                <c:pt idx="21">
                  <c:v>79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86</c:v>
                </c:pt>
                <c:pt idx="30">
                  <c:v>86</c:v>
                </c:pt>
                <c:pt idx="31">
                  <c:v>86</c:v>
                </c:pt>
                <c:pt idx="32">
                  <c:v>86</c:v>
                </c:pt>
                <c:pt idx="33">
                  <c:v>86</c:v>
                </c:pt>
                <c:pt idx="34">
                  <c:v>86</c:v>
                </c:pt>
                <c:pt idx="35">
                  <c:v>76</c:v>
                </c:pt>
                <c:pt idx="36">
                  <c:v>76</c:v>
                </c:pt>
                <c:pt idx="37">
                  <c:v>76</c:v>
                </c:pt>
                <c:pt idx="38">
                  <c:v>76</c:v>
                </c:pt>
                <c:pt idx="39">
                  <c:v>76</c:v>
                </c:pt>
                <c:pt idx="40">
                  <c:v>76</c:v>
                </c:pt>
                <c:pt idx="41">
                  <c:v>76</c:v>
                </c:pt>
                <c:pt idx="4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88-4122-B6C7-678F8560B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006703"/>
        <c:axId val="1"/>
      </c:lineChart>
      <c:catAx>
        <c:axId val="84700670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7006703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480090867538626"/>
          <c:y val="2.1998822547255078E-3"/>
          <c:w val="0.25344922196664887"/>
          <c:h val="8.9086496182649563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834301832698796E-2"/>
          <c:y val="8.3853042685634593E-2"/>
          <c:w val="0.90840079308334165"/>
          <c:h val="0.86560587753365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にんじん!$A$36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にんじん!$B$35:$AR$35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にんじん!$B$36:$AR$36</c:f>
              <c:numCache>
                <c:formatCode>#,##0_);[Red]\(#,##0\)</c:formatCode>
                <c:ptCount val="43"/>
                <c:pt idx="0">
                  <c:v>234.441</c:v>
                </c:pt>
                <c:pt idx="1">
                  <c:v>229.88200000000001</c:v>
                </c:pt>
                <c:pt idx="2">
                  <c:v>270.47500000000002</c:v>
                </c:pt>
                <c:pt idx="3">
                  <c:v>138.726</c:v>
                </c:pt>
                <c:pt idx="4">
                  <c:v>196.738</c:v>
                </c:pt>
                <c:pt idx="5">
                  <c:v>203.14099999999999</c:v>
                </c:pt>
                <c:pt idx="6">
                  <c:v>248.72800000000001</c:v>
                </c:pt>
                <c:pt idx="7">
                  <c:v>194.99</c:v>
                </c:pt>
                <c:pt idx="8">
                  <c:v>226.15600000000001</c:v>
                </c:pt>
                <c:pt idx="9">
                  <c:v>254.203</c:v>
                </c:pt>
                <c:pt idx="10">
                  <c:v>261.952</c:v>
                </c:pt>
                <c:pt idx="11">
                  <c:v>234.196</c:v>
                </c:pt>
                <c:pt idx="12">
                  <c:v>233.738</c:v>
                </c:pt>
                <c:pt idx="13">
                  <c:v>254.42099999999999</c:v>
                </c:pt>
                <c:pt idx="14">
                  <c:v>173.15600000000001</c:v>
                </c:pt>
                <c:pt idx="15">
                  <c:v>292.13299999999998</c:v>
                </c:pt>
                <c:pt idx="16">
                  <c:v>208.07499999999999</c:v>
                </c:pt>
                <c:pt idx="17">
                  <c:v>277.053</c:v>
                </c:pt>
                <c:pt idx="18">
                  <c:v>220.27500000000001</c:v>
                </c:pt>
                <c:pt idx="19">
                  <c:v>242.22900000000001</c:v>
                </c:pt>
                <c:pt idx="20">
                  <c:v>244.36099999999999</c:v>
                </c:pt>
                <c:pt idx="21">
                  <c:v>193.92699999999999</c:v>
                </c:pt>
                <c:pt idx="22">
                  <c:v>245.42400000000001</c:v>
                </c:pt>
                <c:pt idx="23">
                  <c:v>225.84899999999999</c:v>
                </c:pt>
                <c:pt idx="24">
                  <c:v>268.22300000000001</c:v>
                </c:pt>
                <c:pt idx="25">
                  <c:v>288.68700000000001</c:v>
                </c:pt>
                <c:pt idx="26">
                  <c:v>284.60300000000001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8-4222-B070-45E92DD1A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にんじん!$A$37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にんじん!$B$35:$AR$35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にんじん!$B$37:$AR$37</c:f>
              <c:numCache>
                <c:formatCode>#,##0_);[Red]\(#,##0\)</c:formatCode>
                <c:ptCount val="43"/>
                <c:pt idx="0">
                  <c:v>164</c:v>
                </c:pt>
                <c:pt idx="1">
                  <c:v>165</c:v>
                </c:pt>
                <c:pt idx="2">
                  <c:v>166</c:v>
                </c:pt>
                <c:pt idx="3">
                  <c:v>169</c:v>
                </c:pt>
                <c:pt idx="4">
                  <c:v>167</c:v>
                </c:pt>
                <c:pt idx="5">
                  <c:v>169</c:v>
                </c:pt>
                <c:pt idx="6">
                  <c:v>173</c:v>
                </c:pt>
                <c:pt idx="7">
                  <c:v>172</c:v>
                </c:pt>
                <c:pt idx="8">
                  <c:v>170</c:v>
                </c:pt>
                <c:pt idx="9">
                  <c:v>169</c:v>
                </c:pt>
                <c:pt idx="10">
                  <c:v>171</c:v>
                </c:pt>
                <c:pt idx="11">
                  <c:v>168</c:v>
                </c:pt>
                <c:pt idx="12">
                  <c:v>167</c:v>
                </c:pt>
                <c:pt idx="13">
                  <c:v>164</c:v>
                </c:pt>
                <c:pt idx="14">
                  <c:v>170</c:v>
                </c:pt>
                <c:pt idx="15">
                  <c:v>158</c:v>
                </c:pt>
                <c:pt idx="16">
                  <c:v>166</c:v>
                </c:pt>
                <c:pt idx="17">
                  <c:v>158</c:v>
                </c:pt>
                <c:pt idx="18">
                  <c:v>171</c:v>
                </c:pt>
                <c:pt idx="19">
                  <c:v>168</c:v>
                </c:pt>
                <c:pt idx="20">
                  <c:v>159</c:v>
                </c:pt>
                <c:pt idx="21">
                  <c:v>173</c:v>
                </c:pt>
                <c:pt idx="22">
                  <c:v>158</c:v>
                </c:pt>
                <c:pt idx="23">
                  <c:v>156</c:v>
                </c:pt>
                <c:pt idx="24">
                  <c:v>164</c:v>
                </c:pt>
                <c:pt idx="25">
                  <c:v>162</c:v>
                </c:pt>
                <c:pt idx="26">
                  <c:v>158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8-4222-B070-45E92DD1A771}"/>
            </c:ext>
          </c:extLst>
        </c:ser>
        <c:ser>
          <c:idx val="2"/>
          <c:order val="2"/>
          <c:tx>
            <c:strRef>
              <c:f>にんじん!$A$38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にんじん!$B$35:$AR$35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にんじん!$B$38:$AR$38</c:f>
              <c:numCache>
                <c:formatCode>#,##0_);[Red]\(#,##0\)</c:formatCode>
                <c:ptCount val="43"/>
                <c:pt idx="0">
                  <c:v>161</c:v>
                </c:pt>
                <c:pt idx="1">
                  <c:v>161</c:v>
                </c:pt>
                <c:pt idx="2">
                  <c:v>161</c:v>
                </c:pt>
                <c:pt idx="3">
                  <c:v>161</c:v>
                </c:pt>
                <c:pt idx="4">
                  <c:v>161</c:v>
                </c:pt>
                <c:pt idx="5">
                  <c:v>161</c:v>
                </c:pt>
                <c:pt idx="6">
                  <c:v>161</c:v>
                </c:pt>
                <c:pt idx="7">
                  <c:v>167</c:v>
                </c:pt>
                <c:pt idx="8">
                  <c:v>167</c:v>
                </c:pt>
                <c:pt idx="9">
                  <c:v>167</c:v>
                </c:pt>
                <c:pt idx="10">
                  <c:v>167</c:v>
                </c:pt>
                <c:pt idx="11">
                  <c:v>167</c:v>
                </c:pt>
                <c:pt idx="12">
                  <c:v>167</c:v>
                </c:pt>
                <c:pt idx="13">
                  <c:v>167</c:v>
                </c:pt>
                <c:pt idx="14">
                  <c:v>167</c:v>
                </c:pt>
                <c:pt idx="15">
                  <c:v>160</c:v>
                </c:pt>
                <c:pt idx="16">
                  <c:v>160</c:v>
                </c:pt>
                <c:pt idx="17">
                  <c:v>160</c:v>
                </c:pt>
                <c:pt idx="18">
                  <c:v>160</c:v>
                </c:pt>
                <c:pt idx="19">
                  <c:v>160</c:v>
                </c:pt>
                <c:pt idx="20">
                  <c:v>160</c:v>
                </c:pt>
                <c:pt idx="21">
                  <c:v>160</c:v>
                </c:pt>
                <c:pt idx="22">
                  <c:v>154</c:v>
                </c:pt>
                <c:pt idx="23">
                  <c:v>154</c:v>
                </c:pt>
                <c:pt idx="24">
                  <c:v>154</c:v>
                </c:pt>
                <c:pt idx="25">
                  <c:v>154</c:v>
                </c:pt>
                <c:pt idx="26">
                  <c:v>154</c:v>
                </c:pt>
                <c:pt idx="27">
                  <c:v>154</c:v>
                </c:pt>
                <c:pt idx="28">
                  <c:v>154</c:v>
                </c:pt>
                <c:pt idx="29">
                  <c:v>166</c:v>
                </c:pt>
                <c:pt idx="30">
                  <c:v>166</c:v>
                </c:pt>
                <c:pt idx="31">
                  <c:v>166</c:v>
                </c:pt>
                <c:pt idx="32">
                  <c:v>166</c:v>
                </c:pt>
                <c:pt idx="33">
                  <c:v>166</c:v>
                </c:pt>
                <c:pt idx="34">
                  <c:v>166</c:v>
                </c:pt>
                <c:pt idx="35">
                  <c:v>157</c:v>
                </c:pt>
                <c:pt idx="36">
                  <c:v>157</c:v>
                </c:pt>
                <c:pt idx="37">
                  <c:v>157</c:v>
                </c:pt>
                <c:pt idx="38">
                  <c:v>157</c:v>
                </c:pt>
                <c:pt idx="39">
                  <c:v>157</c:v>
                </c:pt>
                <c:pt idx="40">
                  <c:v>157</c:v>
                </c:pt>
                <c:pt idx="41">
                  <c:v>157</c:v>
                </c:pt>
                <c:pt idx="42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F8-4222-B070-45E92DD1A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577343"/>
        <c:axId val="1"/>
      </c:lineChart>
      <c:catAx>
        <c:axId val="8475773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000" b="1"/>
            </a:pPr>
            <a:endParaRPr lang="ja-JP"/>
          </a:p>
        </c:txPr>
        <c:crossAx val="847577343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654617368614049"/>
          <c:y val="1.0727237219404844E-3"/>
          <c:w val="0.27498300889420668"/>
          <c:h val="8.2893460374518516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483754562027233E-2"/>
          <c:y val="8.2418389186172128E-2"/>
          <c:w val="0.90790329476151466"/>
          <c:h val="0.857389707726730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にんじん!$A$76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にんじん!$B$75:$AR$75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にんじん!$B$76:$AR$76</c:f>
              <c:numCache>
                <c:formatCode>#,##0_);[Red]\(#,##0\)</c:formatCode>
                <c:ptCount val="43"/>
                <c:pt idx="0">
                  <c:v>117.37</c:v>
                </c:pt>
                <c:pt idx="1">
                  <c:v>60.746000000000002</c:v>
                </c:pt>
                <c:pt idx="2">
                  <c:v>83.366</c:v>
                </c:pt>
                <c:pt idx="3">
                  <c:v>37.905999999999999</c:v>
                </c:pt>
                <c:pt idx="4">
                  <c:v>29.960999999999999</c:v>
                </c:pt>
                <c:pt idx="5">
                  <c:v>94.436999999999998</c:v>
                </c:pt>
                <c:pt idx="6">
                  <c:v>71.686000000000007</c:v>
                </c:pt>
                <c:pt idx="7">
                  <c:v>64.686999999999998</c:v>
                </c:pt>
                <c:pt idx="8">
                  <c:v>48.093000000000004</c:v>
                </c:pt>
                <c:pt idx="9">
                  <c:v>55.35</c:v>
                </c:pt>
                <c:pt idx="10">
                  <c:v>111.608</c:v>
                </c:pt>
                <c:pt idx="11">
                  <c:v>80.912000000000006</c:v>
                </c:pt>
                <c:pt idx="12">
                  <c:v>81.391999999999996</c:v>
                </c:pt>
                <c:pt idx="13">
                  <c:v>57.957999999999998</c:v>
                </c:pt>
                <c:pt idx="14">
                  <c:v>53.783000000000001</c:v>
                </c:pt>
                <c:pt idx="15">
                  <c:v>56.901000000000003</c:v>
                </c:pt>
                <c:pt idx="16">
                  <c:v>30.902000000000001</c:v>
                </c:pt>
                <c:pt idx="17">
                  <c:v>76.185000000000002</c:v>
                </c:pt>
                <c:pt idx="18">
                  <c:v>52.667000000000002</c:v>
                </c:pt>
                <c:pt idx="19">
                  <c:v>55.433</c:v>
                </c:pt>
                <c:pt idx="20">
                  <c:v>66.623000000000005</c:v>
                </c:pt>
                <c:pt idx="21">
                  <c:v>68.274000000000001</c:v>
                </c:pt>
                <c:pt idx="22">
                  <c:v>81.834999999999994</c:v>
                </c:pt>
                <c:pt idx="23">
                  <c:v>76.548000000000002</c:v>
                </c:pt>
                <c:pt idx="24">
                  <c:v>63.225000000000001</c:v>
                </c:pt>
                <c:pt idx="25">
                  <c:v>77.876000000000005</c:v>
                </c:pt>
                <c:pt idx="26">
                  <c:v>58.677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9-49A2-BD93-17D1B9A9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にんじん!$A$77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にんじん!$B$75:$AR$75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にんじん!$B$77:$AR$77</c:f>
              <c:numCache>
                <c:formatCode>#,##0_);[Red]\(#,##0\)</c:formatCode>
                <c:ptCount val="43"/>
                <c:pt idx="0">
                  <c:v>152</c:v>
                </c:pt>
                <c:pt idx="1">
                  <c:v>171</c:v>
                </c:pt>
                <c:pt idx="2">
                  <c:v>182</c:v>
                </c:pt>
                <c:pt idx="3">
                  <c:v>181</c:v>
                </c:pt>
                <c:pt idx="4">
                  <c:v>186</c:v>
                </c:pt>
                <c:pt idx="5">
                  <c:v>185</c:v>
                </c:pt>
                <c:pt idx="6">
                  <c:v>170</c:v>
                </c:pt>
                <c:pt idx="7">
                  <c:v>194</c:v>
                </c:pt>
                <c:pt idx="8">
                  <c:v>205</c:v>
                </c:pt>
                <c:pt idx="9">
                  <c:v>200</c:v>
                </c:pt>
                <c:pt idx="10">
                  <c:v>191</c:v>
                </c:pt>
                <c:pt idx="11">
                  <c:v>177</c:v>
                </c:pt>
                <c:pt idx="12">
                  <c:v>185</c:v>
                </c:pt>
                <c:pt idx="13">
                  <c:v>186</c:v>
                </c:pt>
                <c:pt idx="14">
                  <c:v>199</c:v>
                </c:pt>
                <c:pt idx="15">
                  <c:v>182</c:v>
                </c:pt>
                <c:pt idx="16">
                  <c:v>185</c:v>
                </c:pt>
                <c:pt idx="17">
                  <c:v>180</c:v>
                </c:pt>
                <c:pt idx="18">
                  <c:v>133</c:v>
                </c:pt>
                <c:pt idx="19">
                  <c:v>194</c:v>
                </c:pt>
                <c:pt idx="20">
                  <c:v>197</c:v>
                </c:pt>
                <c:pt idx="21">
                  <c:v>180</c:v>
                </c:pt>
                <c:pt idx="22">
                  <c:v>183</c:v>
                </c:pt>
                <c:pt idx="23">
                  <c:v>188</c:v>
                </c:pt>
                <c:pt idx="24">
                  <c:v>182</c:v>
                </c:pt>
                <c:pt idx="25">
                  <c:v>190</c:v>
                </c:pt>
                <c:pt idx="26">
                  <c:v>191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9-49A2-BD93-17D1B9A96F2F}"/>
            </c:ext>
          </c:extLst>
        </c:ser>
        <c:ser>
          <c:idx val="2"/>
          <c:order val="2"/>
          <c:tx>
            <c:strRef>
              <c:f>にんじん!$A$78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にんじん!$B$75:$AR$75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にんじん!$B$78:$AR$78</c:f>
              <c:numCache>
                <c:formatCode>#,##0_);[Red]\(#,##0\)</c:formatCode>
                <c:ptCount val="43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168</c:v>
                </c:pt>
                <c:pt idx="16">
                  <c:v>168</c:v>
                </c:pt>
                <c:pt idx="17">
                  <c:v>168</c:v>
                </c:pt>
                <c:pt idx="18">
                  <c:v>168</c:v>
                </c:pt>
                <c:pt idx="19">
                  <c:v>168</c:v>
                </c:pt>
                <c:pt idx="20">
                  <c:v>168</c:v>
                </c:pt>
                <c:pt idx="21">
                  <c:v>168</c:v>
                </c:pt>
                <c:pt idx="22">
                  <c:v>163</c:v>
                </c:pt>
                <c:pt idx="23">
                  <c:v>163</c:v>
                </c:pt>
                <c:pt idx="24">
                  <c:v>163</c:v>
                </c:pt>
                <c:pt idx="25">
                  <c:v>163</c:v>
                </c:pt>
                <c:pt idx="26">
                  <c:v>163</c:v>
                </c:pt>
                <c:pt idx="27">
                  <c:v>163</c:v>
                </c:pt>
                <c:pt idx="28">
                  <c:v>163</c:v>
                </c:pt>
                <c:pt idx="29">
                  <c:v>174</c:v>
                </c:pt>
                <c:pt idx="30">
                  <c:v>174</c:v>
                </c:pt>
                <c:pt idx="31">
                  <c:v>174</c:v>
                </c:pt>
                <c:pt idx="32">
                  <c:v>174</c:v>
                </c:pt>
                <c:pt idx="33">
                  <c:v>174</c:v>
                </c:pt>
                <c:pt idx="34">
                  <c:v>174</c:v>
                </c:pt>
                <c:pt idx="35">
                  <c:v>164</c:v>
                </c:pt>
                <c:pt idx="36">
                  <c:v>164</c:v>
                </c:pt>
                <c:pt idx="37">
                  <c:v>164</c:v>
                </c:pt>
                <c:pt idx="38">
                  <c:v>164</c:v>
                </c:pt>
                <c:pt idx="39">
                  <c:v>164</c:v>
                </c:pt>
                <c:pt idx="40">
                  <c:v>164</c:v>
                </c:pt>
                <c:pt idx="41">
                  <c:v>164</c:v>
                </c:pt>
                <c:pt idx="42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9-49A2-BD93-17D1B9A9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580255"/>
        <c:axId val="1"/>
      </c:lineChart>
      <c:catAx>
        <c:axId val="8475802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7580255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4827237634634717"/>
          <c:y val="6.4053297480610072E-4"/>
          <c:w val="0.26645357872086101"/>
          <c:h val="8.890906719375520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484042353028028E-2"/>
          <c:y val="7.2054494738248404E-2"/>
          <c:w val="0.91004380425143105"/>
          <c:h val="0.87959418219460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にんじん!$A$116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にんじん!$B$115:$AR$115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にんじん!$B$116:$AR$116</c:f>
              <c:numCache>
                <c:formatCode>#,##0_);[Red]\(#,##0\)</c:formatCode>
                <c:ptCount val="43"/>
                <c:pt idx="0">
                  <c:v>104.05</c:v>
                </c:pt>
                <c:pt idx="1">
                  <c:v>68.75</c:v>
                </c:pt>
                <c:pt idx="2">
                  <c:v>133.97999999999999</c:v>
                </c:pt>
                <c:pt idx="3">
                  <c:v>55.87</c:v>
                </c:pt>
                <c:pt idx="4">
                  <c:v>79.19</c:v>
                </c:pt>
                <c:pt idx="5">
                  <c:v>122.14</c:v>
                </c:pt>
                <c:pt idx="6">
                  <c:v>72.5</c:v>
                </c:pt>
                <c:pt idx="7">
                  <c:v>148.18</c:v>
                </c:pt>
                <c:pt idx="8">
                  <c:v>101</c:v>
                </c:pt>
                <c:pt idx="9">
                  <c:v>105.46</c:v>
                </c:pt>
                <c:pt idx="10">
                  <c:v>135.32</c:v>
                </c:pt>
                <c:pt idx="11">
                  <c:v>77.099999999999994</c:v>
                </c:pt>
                <c:pt idx="12">
                  <c:v>150.91</c:v>
                </c:pt>
                <c:pt idx="13">
                  <c:v>86.74</c:v>
                </c:pt>
                <c:pt idx="14">
                  <c:v>98.42</c:v>
                </c:pt>
                <c:pt idx="15">
                  <c:v>108.67</c:v>
                </c:pt>
                <c:pt idx="16">
                  <c:v>66.56</c:v>
                </c:pt>
                <c:pt idx="17">
                  <c:v>126.25</c:v>
                </c:pt>
                <c:pt idx="18">
                  <c:v>109.41</c:v>
                </c:pt>
                <c:pt idx="19">
                  <c:v>108.51</c:v>
                </c:pt>
                <c:pt idx="20">
                  <c:v>110.8</c:v>
                </c:pt>
                <c:pt idx="21">
                  <c:v>91.92</c:v>
                </c:pt>
                <c:pt idx="22">
                  <c:v>114.58</c:v>
                </c:pt>
                <c:pt idx="23">
                  <c:v>110.53</c:v>
                </c:pt>
                <c:pt idx="24">
                  <c:v>102.05</c:v>
                </c:pt>
                <c:pt idx="25">
                  <c:v>124.22</c:v>
                </c:pt>
                <c:pt idx="26">
                  <c:v>102.42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1-465E-B23F-FF819D212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にんじん!$A$117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にんじん!$B$115:$AR$115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にんじん!$B$117:$AR$117</c:f>
              <c:numCache>
                <c:formatCode>#,##0_);[Red]\(#,##0\)</c:formatCode>
                <c:ptCount val="43"/>
                <c:pt idx="0">
                  <c:v>141</c:v>
                </c:pt>
                <c:pt idx="1">
                  <c:v>141</c:v>
                </c:pt>
                <c:pt idx="2">
                  <c:v>135</c:v>
                </c:pt>
                <c:pt idx="3">
                  <c:v>151</c:v>
                </c:pt>
                <c:pt idx="4">
                  <c:v>159</c:v>
                </c:pt>
                <c:pt idx="5">
                  <c:v>159</c:v>
                </c:pt>
                <c:pt idx="6">
                  <c:v>168</c:v>
                </c:pt>
                <c:pt idx="7">
                  <c:v>159</c:v>
                </c:pt>
                <c:pt idx="8">
                  <c:v>164</c:v>
                </c:pt>
                <c:pt idx="9">
                  <c:v>164</c:v>
                </c:pt>
                <c:pt idx="10">
                  <c:v>153</c:v>
                </c:pt>
                <c:pt idx="11">
                  <c:v>164</c:v>
                </c:pt>
                <c:pt idx="12">
                  <c:v>153</c:v>
                </c:pt>
                <c:pt idx="13">
                  <c:v>155</c:v>
                </c:pt>
                <c:pt idx="14">
                  <c:v>153</c:v>
                </c:pt>
                <c:pt idx="15">
                  <c:v>153</c:v>
                </c:pt>
                <c:pt idx="16">
                  <c:v>158</c:v>
                </c:pt>
                <c:pt idx="17">
                  <c:v>157</c:v>
                </c:pt>
                <c:pt idx="18">
                  <c:v>160</c:v>
                </c:pt>
                <c:pt idx="19">
                  <c:v>170</c:v>
                </c:pt>
                <c:pt idx="20">
                  <c:v>173</c:v>
                </c:pt>
                <c:pt idx="21">
                  <c:v>157</c:v>
                </c:pt>
                <c:pt idx="22">
                  <c:v>157</c:v>
                </c:pt>
                <c:pt idx="23">
                  <c:v>160</c:v>
                </c:pt>
                <c:pt idx="24">
                  <c:v>156</c:v>
                </c:pt>
                <c:pt idx="25">
                  <c:v>173</c:v>
                </c:pt>
                <c:pt idx="26">
                  <c:v>166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1-465E-B23F-FF819D212FD8}"/>
            </c:ext>
          </c:extLst>
        </c:ser>
        <c:ser>
          <c:idx val="2"/>
          <c:order val="2"/>
          <c:tx>
            <c:strRef>
              <c:f>にんじん!$A$118</c:f>
              <c:strCache>
                <c:ptCount val="1"/>
                <c:pt idx="0">
                  <c:v>平均価格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にんじん!$B$115:$AR$115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にんじん!$B$118:$AR$118</c:f>
              <c:numCache>
                <c:formatCode>#,##0_);[Red]\(#,##0\)</c:formatCode>
                <c:ptCount val="43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147</c:v>
                </c:pt>
                <c:pt idx="23">
                  <c:v>147</c:v>
                </c:pt>
                <c:pt idx="24">
                  <c:v>147</c:v>
                </c:pt>
                <c:pt idx="25">
                  <c:v>147</c:v>
                </c:pt>
                <c:pt idx="26">
                  <c:v>147</c:v>
                </c:pt>
                <c:pt idx="27">
                  <c:v>147</c:v>
                </c:pt>
                <c:pt idx="28">
                  <c:v>147</c:v>
                </c:pt>
                <c:pt idx="29">
                  <c:v>172</c:v>
                </c:pt>
                <c:pt idx="30">
                  <c:v>172</c:v>
                </c:pt>
                <c:pt idx="31">
                  <c:v>172</c:v>
                </c:pt>
                <c:pt idx="32">
                  <c:v>172</c:v>
                </c:pt>
                <c:pt idx="33">
                  <c:v>172</c:v>
                </c:pt>
                <c:pt idx="34">
                  <c:v>172</c:v>
                </c:pt>
                <c:pt idx="35">
                  <c:v>167</c:v>
                </c:pt>
                <c:pt idx="36">
                  <c:v>167</c:v>
                </c:pt>
                <c:pt idx="37">
                  <c:v>167</c:v>
                </c:pt>
                <c:pt idx="38">
                  <c:v>167</c:v>
                </c:pt>
                <c:pt idx="39">
                  <c:v>167</c:v>
                </c:pt>
                <c:pt idx="40">
                  <c:v>167</c:v>
                </c:pt>
                <c:pt idx="41">
                  <c:v>167</c:v>
                </c:pt>
                <c:pt idx="42">
                  <c:v>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F-4577-8E70-6B1F94D8D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579007"/>
        <c:axId val="1"/>
      </c:lineChart>
      <c:catAx>
        <c:axId val="8475790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757900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2928870915071651"/>
          <c:y val="2.4810330332172667E-3"/>
          <c:w val="0.22663782164362783"/>
          <c:h val="9.0121148893627531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229046466769162E-2"/>
          <c:y val="7.944491854289526E-2"/>
          <c:w val="0.90838661112574048"/>
          <c:h val="0.86565461359294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にんじん!$A$156</c:f>
              <c:strCache>
                <c:ptCount val="1"/>
                <c:pt idx="0">
                  <c:v>入荷量</c:v>
                </c:pt>
              </c:strCache>
            </c:strRef>
          </c:tx>
          <c:spPr>
            <a:solidFill>
              <a:srgbClr val="CCFFCC"/>
            </a:solidFill>
            <a:ln>
              <a:solidFill>
                <a:srgbClr val="000000"/>
              </a:solidFill>
            </a:ln>
            <a:effectLst>
              <a:outerShdw dist="35560" dir="2700000" algn="ctr" rotWithShape="0">
                <a:schemeClr val="tx1"/>
              </a:outerShdw>
            </a:effectLst>
          </c:spPr>
          <c:invertIfNegative val="0"/>
          <c:cat>
            <c:strRef>
              <c:f>にんじん!$B$155:$AR$155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にんじん!$B$156:$AR$156</c:f>
              <c:numCache>
                <c:formatCode>#,##0_);[Red]\(#,##0\)</c:formatCode>
                <c:ptCount val="43"/>
                <c:pt idx="0">
                  <c:v>48.38</c:v>
                </c:pt>
                <c:pt idx="1">
                  <c:v>52.14</c:v>
                </c:pt>
                <c:pt idx="2">
                  <c:v>49.55</c:v>
                </c:pt>
                <c:pt idx="3">
                  <c:v>43.97</c:v>
                </c:pt>
                <c:pt idx="4">
                  <c:v>68.667000000000002</c:v>
                </c:pt>
                <c:pt idx="5">
                  <c:v>44.33</c:v>
                </c:pt>
                <c:pt idx="6">
                  <c:v>48.23</c:v>
                </c:pt>
                <c:pt idx="7">
                  <c:v>46.292999999999999</c:v>
                </c:pt>
                <c:pt idx="8">
                  <c:v>46.03</c:v>
                </c:pt>
                <c:pt idx="9">
                  <c:v>69.3</c:v>
                </c:pt>
                <c:pt idx="10">
                  <c:v>44.61</c:v>
                </c:pt>
                <c:pt idx="11">
                  <c:v>41.57</c:v>
                </c:pt>
                <c:pt idx="12">
                  <c:v>49.613999999999997</c:v>
                </c:pt>
                <c:pt idx="13">
                  <c:v>45.658000000000001</c:v>
                </c:pt>
                <c:pt idx="14">
                  <c:v>42.59</c:v>
                </c:pt>
                <c:pt idx="15">
                  <c:v>70.19</c:v>
                </c:pt>
                <c:pt idx="16">
                  <c:v>46.77</c:v>
                </c:pt>
                <c:pt idx="17">
                  <c:v>40.304000000000002</c:v>
                </c:pt>
                <c:pt idx="18">
                  <c:v>43.44</c:v>
                </c:pt>
                <c:pt idx="19">
                  <c:v>38.713999999999999</c:v>
                </c:pt>
                <c:pt idx="20">
                  <c:v>42.976999999999997</c:v>
                </c:pt>
                <c:pt idx="21">
                  <c:v>42.89</c:v>
                </c:pt>
                <c:pt idx="22">
                  <c:v>51.314999999999998</c:v>
                </c:pt>
                <c:pt idx="23">
                  <c:v>45.963999999999999</c:v>
                </c:pt>
                <c:pt idx="24">
                  <c:v>52.316000000000003</c:v>
                </c:pt>
                <c:pt idx="25">
                  <c:v>64.709999999999994</c:v>
                </c:pt>
                <c:pt idx="26">
                  <c:v>44.35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8-48BF-9D10-E7757366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"/>
        <c:axId val="4"/>
      </c:barChart>
      <c:lineChart>
        <c:grouping val="standard"/>
        <c:varyColors val="0"/>
        <c:ser>
          <c:idx val="1"/>
          <c:order val="1"/>
          <c:tx>
            <c:strRef>
              <c:f>にんじん!$A$157</c:f>
              <c:strCache>
                <c:ptCount val="1"/>
                <c:pt idx="0">
                  <c:v>卸売価格</c:v>
                </c:pt>
              </c:strCache>
            </c:strRef>
          </c:tx>
          <c:spPr>
            <a:ln w="12700">
              <a:solidFill>
                <a:srgbClr val="FF00FF"/>
              </a:solidFill>
            </a:ln>
          </c:spPr>
          <c:marker>
            <c:symbol val="diamond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</a:ln>
            </c:spPr>
          </c:marker>
          <c:cat>
            <c:strRef>
              <c:f>にんじん!$B$155:$AR$155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にんじん!$B$157:$AR$157</c:f>
              <c:numCache>
                <c:formatCode>#,##0_);[Red]\(#,##0\)</c:formatCode>
                <c:ptCount val="43"/>
                <c:pt idx="0">
                  <c:v>122</c:v>
                </c:pt>
                <c:pt idx="1">
                  <c:v>135</c:v>
                </c:pt>
                <c:pt idx="2">
                  <c:v>133</c:v>
                </c:pt>
                <c:pt idx="3">
                  <c:v>130</c:v>
                </c:pt>
                <c:pt idx="4">
                  <c:v>114</c:v>
                </c:pt>
                <c:pt idx="5">
                  <c:v>138</c:v>
                </c:pt>
                <c:pt idx="6">
                  <c:v>139</c:v>
                </c:pt>
                <c:pt idx="7">
                  <c:v>136</c:v>
                </c:pt>
                <c:pt idx="8">
                  <c:v>136</c:v>
                </c:pt>
                <c:pt idx="9">
                  <c:v>125</c:v>
                </c:pt>
                <c:pt idx="10">
                  <c:v>131</c:v>
                </c:pt>
                <c:pt idx="11">
                  <c:v>144</c:v>
                </c:pt>
                <c:pt idx="12">
                  <c:v>129</c:v>
                </c:pt>
                <c:pt idx="13">
                  <c:v>124</c:v>
                </c:pt>
                <c:pt idx="14">
                  <c:v>126</c:v>
                </c:pt>
                <c:pt idx="15">
                  <c:v>128</c:v>
                </c:pt>
                <c:pt idx="16">
                  <c:v>136</c:v>
                </c:pt>
                <c:pt idx="17">
                  <c:v>150</c:v>
                </c:pt>
                <c:pt idx="18">
                  <c:v>149</c:v>
                </c:pt>
                <c:pt idx="19">
                  <c:v>138</c:v>
                </c:pt>
                <c:pt idx="20">
                  <c:v>174</c:v>
                </c:pt>
                <c:pt idx="21">
                  <c:v>160</c:v>
                </c:pt>
                <c:pt idx="22">
                  <c:v>164</c:v>
                </c:pt>
                <c:pt idx="23">
                  <c:v>163</c:v>
                </c:pt>
                <c:pt idx="24">
                  <c:v>163</c:v>
                </c:pt>
                <c:pt idx="25">
                  <c:v>162</c:v>
                </c:pt>
                <c:pt idx="26">
                  <c:v>162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8-48BF-9D10-E7757366CB12}"/>
            </c:ext>
          </c:extLst>
        </c:ser>
        <c:ser>
          <c:idx val="2"/>
          <c:order val="2"/>
          <c:tx>
            <c:strRef>
              <c:f>にんじん!$A$158</c:f>
              <c:strCache>
                <c:ptCount val="1"/>
                <c:pt idx="0">
                  <c:v>平均価格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marker>
            <c:symbol val="none"/>
          </c:marker>
          <c:cat>
            <c:strRef>
              <c:f>にんじん!$B$155:$AR$155</c:f>
              <c:strCache>
                <c:ptCount val="43"/>
                <c:pt idx="0">
                  <c:v>6/1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16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7/2</c:v>
                </c:pt>
                <c:pt idx="23">
                  <c:v>3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13</c:v>
                </c:pt>
                <c:pt idx="31">
                  <c:v>14</c:v>
                </c:pt>
                <c:pt idx="32">
                  <c:v>16</c:v>
                </c:pt>
                <c:pt idx="33">
                  <c:v>17</c:v>
                </c:pt>
                <c:pt idx="34">
                  <c:v>18</c:v>
                </c:pt>
                <c:pt idx="35">
                  <c:v>21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27</c:v>
                </c:pt>
                <c:pt idx="40">
                  <c:v>28</c:v>
                </c:pt>
                <c:pt idx="41">
                  <c:v>30</c:v>
                </c:pt>
                <c:pt idx="42">
                  <c:v>31</c:v>
                </c:pt>
              </c:strCache>
            </c:strRef>
          </c:cat>
          <c:val>
            <c:numRef>
              <c:f>にんじん!$B$158:$AR$158</c:f>
              <c:numCache>
                <c:formatCode>#,##0_);[Red]\(#,##0\)</c:formatCode>
                <c:ptCount val="43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133</c:v>
                </c:pt>
                <c:pt idx="8">
                  <c:v>133</c:v>
                </c:pt>
                <c:pt idx="9">
                  <c:v>133</c:v>
                </c:pt>
                <c:pt idx="10">
                  <c:v>133</c:v>
                </c:pt>
                <c:pt idx="11">
                  <c:v>133</c:v>
                </c:pt>
                <c:pt idx="12">
                  <c:v>133</c:v>
                </c:pt>
                <c:pt idx="13">
                  <c:v>133</c:v>
                </c:pt>
                <c:pt idx="14">
                  <c:v>133</c:v>
                </c:pt>
                <c:pt idx="15">
                  <c:v>127</c:v>
                </c:pt>
                <c:pt idx="16">
                  <c:v>127</c:v>
                </c:pt>
                <c:pt idx="17">
                  <c:v>127</c:v>
                </c:pt>
                <c:pt idx="18">
                  <c:v>127</c:v>
                </c:pt>
                <c:pt idx="19">
                  <c:v>127</c:v>
                </c:pt>
                <c:pt idx="20">
                  <c:v>127</c:v>
                </c:pt>
                <c:pt idx="21">
                  <c:v>127</c:v>
                </c:pt>
                <c:pt idx="22">
                  <c:v>148</c:v>
                </c:pt>
                <c:pt idx="23">
                  <c:v>148</c:v>
                </c:pt>
                <c:pt idx="24">
                  <c:v>148</c:v>
                </c:pt>
                <c:pt idx="25">
                  <c:v>148</c:v>
                </c:pt>
                <c:pt idx="26">
                  <c:v>148</c:v>
                </c:pt>
                <c:pt idx="27">
                  <c:v>148</c:v>
                </c:pt>
                <c:pt idx="28">
                  <c:v>148</c:v>
                </c:pt>
                <c:pt idx="29">
                  <c:v>159</c:v>
                </c:pt>
                <c:pt idx="30">
                  <c:v>159</c:v>
                </c:pt>
                <c:pt idx="31">
                  <c:v>159</c:v>
                </c:pt>
                <c:pt idx="32">
                  <c:v>159</c:v>
                </c:pt>
                <c:pt idx="33">
                  <c:v>159</c:v>
                </c:pt>
                <c:pt idx="34">
                  <c:v>159</c:v>
                </c:pt>
                <c:pt idx="35">
                  <c:v>164</c:v>
                </c:pt>
                <c:pt idx="36">
                  <c:v>164</c:v>
                </c:pt>
                <c:pt idx="37">
                  <c:v>164</c:v>
                </c:pt>
                <c:pt idx="38">
                  <c:v>164</c:v>
                </c:pt>
                <c:pt idx="39">
                  <c:v>164</c:v>
                </c:pt>
                <c:pt idx="40">
                  <c:v>164</c:v>
                </c:pt>
                <c:pt idx="41">
                  <c:v>164</c:v>
                </c:pt>
                <c:pt idx="42">
                  <c:v>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E8-48BF-9D10-E7757366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176511"/>
        <c:axId val="1"/>
      </c:lineChart>
      <c:catAx>
        <c:axId val="84817651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#,##0_);[Red]\(#,##0\)" sourceLinked="1"/>
        <c:majorTickMark val="in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b="1"/>
            </a:pPr>
            <a:endParaRPr lang="ja-JP"/>
          </a:p>
        </c:txPr>
        <c:crossAx val="84817651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_);[Red]\(#,##0\)" sourceLinked="1"/>
        <c:majorTickMark val="in"/>
        <c:minorTickMark val="none"/>
        <c:tickLblPos val="nextTo"/>
        <c:txPr>
          <a:bodyPr/>
          <a:lstStyle/>
          <a:p>
            <a:pPr>
              <a:defRPr b="1"/>
            </a:pPr>
            <a:endParaRPr lang="ja-JP"/>
          </a:p>
        </c:txPr>
        <c:crossAx val="3"/>
        <c:crosses val="max"/>
        <c:crossBetween val="between"/>
      </c:valAx>
      <c:spPr>
        <a:ln>
          <a:solidFill>
            <a:srgbClr val="808080"/>
          </a:solidFill>
        </a:ln>
      </c:spPr>
    </c:plotArea>
    <c:legend>
      <c:legendPos val="r"/>
      <c:layout>
        <c:manualLayout>
          <c:xMode val="edge"/>
          <c:yMode val="edge"/>
          <c:x val="0.33979078968612758"/>
          <c:y val="1.9942664838589058E-3"/>
          <c:w val="0.27787886694954866"/>
          <c:h val="7.5574456663928272E-2"/>
        </c:manualLayout>
      </c:layout>
      <c:overlay val="0"/>
      <c:txPr>
        <a:bodyPr/>
        <a:lstStyle/>
        <a:p>
          <a:pPr>
            <a:defRPr sz="1100" b="1"/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226218</xdr:colOff>
      <xdr:row>2</xdr:row>
      <xdr:rowOff>76580</xdr:rowOff>
    </xdr:from>
    <xdr:to>
      <xdr:col>46</xdr:col>
      <xdr:colOff>0</xdr:colOff>
      <xdr:row>33</xdr:row>
      <xdr:rowOff>21772</xdr:rowOff>
    </xdr:to>
    <xdr:graphicFrame macro="">
      <xdr:nvGraphicFramePr>
        <xdr:cNvPr id="55152740" name="グラフ 7">
          <a:extLst>
            <a:ext uri="{FF2B5EF4-FFF2-40B4-BE49-F238E27FC236}">
              <a16:creationId xmlns:a16="http://schemas.microsoft.com/office/drawing/2014/main" id="{00000000-0008-0000-0000-00006490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214311</xdr:colOff>
      <xdr:row>42</xdr:row>
      <xdr:rowOff>46567</xdr:rowOff>
    </xdr:from>
    <xdr:to>
      <xdr:col>46</xdr:col>
      <xdr:colOff>0</xdr:colOff>
      <xdr:row>73</xdr:row>
      <xdr:rowOff>5556</xdr:rowOff>
    </xdr:to>
    <xdr:graphicFrame macro="">
      <xdr:nvGraphicFramePr>
        <xdr:cNvPr id="55152741" name="グラフ 10">
          <a:extLst>
            <a:ext uri="{FF2B5EF4-FFF2-40B4-BE49-F238E27FC236}">
              <a16:creationId xmlns:a16="http://schemas.microsoft.com/office/drawing/2014/main" id="{00000000-0008-0000-0000-00006590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214311</xdr:colOff>
      <xdr:row>82</xdr:row>
      <xdr:rowOff>16402</xdr:rowOff>
    </xdr:from>
    <xdr:to>
      <xdr:col>46</xdr:col>
      <xdr:colOff>0</xdr:colOff>
      <xdr:row>112</xdr:row>
      <xdr:rowOff>95250</xdr:rowOff>
    </xdr:to>
    <xdr:graphicFrame macro="">
      <xdr:nvGraphicFramePr>
        <xdr:cNvPr id="55152742" name="グラフ 11">
          <a:extLst>
            <a:ext uri="{FF2B5EF4-FFF2-40B4-BE49-F238E27FC236}">
              <a16:creationId xmlns:a16="http://schemas.microsoft.com/office/drawing/2014/main" id="{00000000-0008-0000-0000-00006690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190496</xdr:colOff>
      <xdr:row>122</xdr:row>
      <xdr:rowOff>15610</xdr:rowOff>
    </xdr:from>
    <xdr:to>
      <xdr:col>46</xdr:col>
      <xdr:colOff>42332</xdr:colOff>
      <xdr:row>152</xdr:row>
      <xdr:rowOff>130968</xdr:rowOff>
    </xdr:to>
    <xdr:graphicFrame macro="">
      <xdr:nvGraphicFramePr>
        <xdr:cNvPr id="55152743" name="グラフ 12">
          <a:extLst>
            <a:ext uri="{FF2B5EF4-FFF2-40B4-BE49-F238E27FC236}">
              <a16:creationId xmlns:a16="http://schemas.microsoft.com/office/drawing/2014/main" id="{00000000-0008-0000-0000-00006790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0.05351</cdr:x>
      <cdr:y>0.02629</cdr:y>
    </cdr:from>
    <cdr:to>
      <cdr:x>0.10202</cdr:x>
      <cdr:y>0.07458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96172" y="131657"/>
          <a:ext cx="631116" cy="2417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0.91089</cdr:x>
      <cdr:y>0.02563</cdr:y>
    </cdr:from>
    <cdr:to>
      <cdr:x>0.94616</cdr:x>
      <cdr:y>0.0727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50718" y="128315"/>
          <a:ext cx="458863" cy="23568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0.04824</cdr:x>
      <cdr:y>0.02527</cdr:y>
    </cdr:from>
    <cdr:to>
      <cdr:x>0.09699</cdr:x>
      <cdr:y>0.07329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21925" y="127589"/>
          <a:ext cx="628512" cy="2424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0.92094</cdr:x>
      <cdr:y>0.03315</cdr:y>
    </cdr:from>
    <cdr:to>
      <cdr:x>0.96253</cdr:x>
      <cdr:y>0.07938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73300" y="167371"/>
          <a:ext cx="536191" cy="23339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b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0.04752</cdr:x>
      <cdr:y>0.03188</cdr:y>
    </cdr:from>
    <cdr:to>
      <cdr:x>0.0987</cdr:x>
      <cdr:y>0.08503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14896" y="159633"/>
          <a:ext cx="662305" cy="26610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0.90787</cdr:x>
      <cdr:y>0.01847</cdr:y>
    </cdr:from>
    <cdr:to>
      <cdr:x>0.951</cdr:x>
      <cdr:y>0.06997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>
          <a:off x="11748421" y="92481"/>
          <a:ext cx="558185" cy="25783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0.04872</cdr:x>
      <cdr:y>0.02934</cdr:y>
    </cdr:from>
    <cdr:to>
      <cdr:x>0.09726</cdr:x>
      <cdr:y>0.07718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0019" y="145928"/>
          <a:ext cx="627730" cy="23792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0.92113</cdr:x>
      <cdr:y>0.02054</cdr:y>
    </cdr:from>
    <cdr:to>
      <cdr:x>0.95665</cdr:x>
      <cdr:y>0.06649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12262" y="102149"/>
          <a:ext cx="459353" cy="22854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191290</xdr:colOff>
      <xdr:row>2</xdr:row>
      <xdr:rowOff>101386</xdr:rowOff>
    </xdr:from>
    <xdr:to>
      <xdr:col>45</xdr:col>
      <xdr:colOff>264583</xdr:colOff>
      <xdr:row>32</xdr:row>
      <xdr:rowOff>155666</xdr:rowOff>
    </xdr:to>
    <xdr:graphicFrame macro="">
      <xdr:nvGraphicFramePr>
        <xdr:cNvPr id="55157860" name="グラフ 1">
          <a:extLst>
            <a:ext uri="{FF2B5EF4-FFF2-40B4-BE49-F238E27FC236}">
              <a16:creationId xmlns:a16="http://schemas.microsoft.com/office/drawing/2014/main" id="{00000000-0008-0000-0100-000064A4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187850</xdr:colOff>
      <xdr:row>42</xdr:row>
      <xdr:rowOff>45720</xdr:rowOff>
    </xdr:from>
    <xdr:to>
      <xdr:col>46</xdr:col>
      <xdr:colOff>0</xdr:colOff>
      <xdr:row>72</xdr:row>
      <xdr:rowOff>151311</xdr:rowOff>
    </xdr:to>
    <xdr:graphicFrame macro="">
      <xdr:nvGraphicFramePr>
        <xdr:cNvPr id="55157861" name="グラフ 2">
          <a:extLst>
            <a:ext uri="{FF2B5EF4-FFF2-40B4-BE49-F238E27FC236}">
              <a16:creationId xmlns:a16="http://schemas.microsoft.com/office/drawing/2014/main" id="{00000000-0008-0000-0100-000065A4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190501</xdr:colOff>
      <xdr:row>82</xdr:row>
      <xdr:rowOff>103397</xdr:rowOff>
    </xdr:from>
    <xdr:to>
      <xdr:col>46</xdr:col>
      <xdr:colOff>0</xdr:colOff>
      <xdr:row>113</xdr:row>
      <xdr:rowOff>1270</xdr:rowOff>
    </xdr:to>
    <xdr:graphicFrame macro="">
      <xdr:nvGraphicFramePr>
        <xdr:cNvPr id="55157862" name="グラフ 3">
          <a:extLst>
            <a:ext uri="{FF2B5EF4-FFF2-40B4-BE49-F238E27FC236}">
              <a16:creationId xmlns:a16="http://schemas.microsoft.com/office/drawing/2014/main" id="{00000000-0008-0000-0100-000066A4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189174</xdr:colOff>
      <xdr:row>122</xdr:row>
      <xdr:rowOff>23810</xdr:rowOff>
    </xdr:from>
    <xdr:to>
      <xdr:col>45</xdr:col>
      <xdr:colOff>254000</xdr:colOff>
      <xdr:row>153</xdr:row>
      <xdr:rowOff>1851</xdr:rowOff>
    </xdr:to>
    <xdr:graphicFrame macro="">
      <xdr:nvGraphicFramePr>
        <xdr:cNvPr id="55157863" name="グラフ 4">
          <a:extLst>
            <a:ext uri="{FF2B5EF4-FFF2-40B4-BE49-F238E27FC236}">
              <a16:creationId xmlns:a16="http://schemas.microsoft.com/office/drawing/2014/main" id="{00000000-0008-0000-0100-000067A44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0.04116</cdr:x>
      <cdr:y>0.01276</cdr:y>
    </cdr:from>
    <cdr:to>
      <cdr:x>0.0898</cdr:x>
      <cdr:y>0.06069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551561" y="65549"/>
          <a:ext cx="651806" cy="2462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0.91303</cdr:x>
      <cdr:y>0.01859</cdr:y>
    </cdr:from>
    <cdr:to>
      <cdr:x>0.95325</cdr:x>
      <cdr:y>0.07226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56776" y="93677"/>
          <a:ext cx="522306" cy="27042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0.04911</cdr:x>
      <cdr:y>0.02882</cdr:y>
    </cdr:from>
    <cdr:to>
      <cdr:x>0.09793</cdr:x>
      <cdr:y>0.07702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39412" y="143597"/>
          <a:ext cx="635666" cy="2401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200"/>
            </a:lnSpc>
          </a:pPr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0.9132</cdr:x>
      <cdr:y>0.03058</cdr:y>
    </cdr:from>
    <cdr:to>
      <cdr:x>0.9361</cdr:x>
      <cdr:y>0.06358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890424" y="152390"/>
          <a:ext cx="298172" cy="1644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0.04777</cdr:x>
      <cdr:y>0.01216</cdr:y>
    </cdr:from>
    <cdr:to>
      <cdr:x>0.09562</cdr:x>
      <cdr:y>0.06574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21840" y="61155"/>
          <a:ext cx="622918" cy="26936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0.90524</cdr:x>
      <cdr:y>0.01228</cdr:y>
    </cdr:from>
    <cdr:to>
      <cdr:x>0.94501</cdr:x>
      <cdr:y>0.06635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784557" y="61711"/>
          <a:ext cx="517732" cy="27182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（トン）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0.04555</cdr:x>
      <cdr:y>0.01716</cdr:y>
    </cdr:from>
    <cdr:to>
      <cdr:x>0.09406</cdr:x>
      <cdr:y>0.07143</cdr:y>
    </cdr:to>
    <cdr:sp macro="" textlink="">
      <cdr:nvSpPr>
        <cdr:cNvPr id="2" name="テキスト ボックス 8"/>
        <cdr:cNvSpPr txBox="1"/>
      </cdr:nvSpPr>
      <cdr:spPr>
        <a:xfrm xmlns:a="http://schemas.openxmlformats.org/drawingml/2006/main">
          <a:off x="612182" y="87156"/>
          <a:ext cx="651913" cy="27569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kumimoji="1" lang="ja-JP" altLang="en-US" sz="1100"/>
            <a:t>（円</a:t>
          </a:r>
          <a:r>
            <a:rPr kumimoji="1" lang="en-US" altLang="ja-JP" sz="1100"/>
            <a:t>/kg</a:t>
          </a:r>
          <a:r>
            <a:rPr kumimoji="1" lang="ja-JP" altLang="en-US" sz="1100"/>
            <a:t>）</a:t>
          </a:r>
        </a:p>
      </cdr:txBody>
    </cdr:sp>
  </cdr:relSizeAnchor>
  <cdr:relSizeAnchor xmlns:cdr="http://schemas.openxmlformats.org/drawingml/2006/chartDrawing">
    <cdr:from>
      <cdr:x>0.91793</cdr:x>
      <cdr:y>0.01952</cdr:y>
    </cdr:from>
    <cdr:to>
      <cdr:x>0.95804</cdr:x>
      <cdr:y>0.06546</cdr:y>
    </cdr:to>
    <cdr:sp macro="" textlink="">
      <cdr:nvSpPr>
        <cdr:cNvPr id="3" name="テキスト ボックス 8"/>
        <cdr:cNvSpPr txBox="1"/>
      </cdr:nvSpPr>
      <cdr:spPr>
        <a:xfrm xmlns:a="http://schemas.openxmlformats.org/drawingml/2006/main" flipH="1">
          <a:off x="11922038" y="98037"/>
          <a:ext cx="520948" cy="23072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kumimoji="1" lang="ja-JP" altLang="en-US" sz="1100"/>
            <a:t>（トン）</a:t>
          </a: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bg1"/>
        </a:solidFill>
      </a:spPr>
      <a:bodyPr wrap="none" rtlCol="0" anchor="ctr">
        <a:noAutofit/>
      </a:bodyPr>
      <a:lstStyle>
        <a:defPPr>
          <a:defRPr kumimoji="1"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S160"/>
  <sheetViews>
    <sheetView showGridLines="0" zoomScale="90" zoomScaleNormal="90" zoomScaleSheetLayoutView="80" workbookViewId="0">
      <selection activeCell="AW35" sqref="AW35"/>
    </sheetView>
  </sheetViews>
  <sheetFormatPr defaultRowHeight="13.2" x14ac:dyDescent="0.2"/>
  <cols>
    <col min="1" max="1" width="11.109375" bestFit="1" customWidth="1"/>
    <col min="2" max="42" width="4.109375" style="1" customWidth="1"/>
    <col min="43" max="44" width="4.109375" customWidth="1"/>
    <col min="45" max="46" width="3.77734375" customWidth="1"/>
  </cols>
  <sheetData>
    <row r="1" spans="1:14" ht="15" customHeight="1" x14ac:dyDescent="0.2">
      <c r="A1" s="23" t="s">
        <v>10</v>
      </c>
      <c r="B1" s="13"/>
      <c r="C1" s="13"/>
      <c r="D1" s="13"/>
      <c r="E1" s="13"/>
      <c r="F1" s="13"/>
      <c r="G1" s="13"/>
      <c r="H1" s="13"/>
      <c r="I1" s="13"/>
      <c r="J1" s="13"/>
      <c r="L1" s="13" t="str">
        <f>TEXT(集計表!$C$1,"(e.m/d～)")</f>
        <v>(8.6/1～)</v>
      </c>
      <c r="M1" s="13"/>
      <c r="N1" s="13"/>
    </row>
    <row r="2" spans="1:14" ht="15" customHeight="1" x14ac:dyDescent="0.2">
      <c r="A2" s="23" t="s">
        <v>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3.5" customHeight="1" x14ac:dyDescent="0.2"/>
    <row r="5" spans="1:14" ht="13.5" customHeight="1" x14ac:dyDescent="0.2"/>
    <row r="6" spans="1:14" ht="13.5" customHeight="1" x14ac:dyDescent="0.2"/>
    <row r="7" spans="1:14" ht="13.5" customHeight="1" x14ac:dyDescent="0.2"/>
    <row r="8" spans="1:14" ht="13.5" customHeight="1" x14ac:dyDescent="0.2"/>
    <row r="9" spans="1:14" ht="13.5" customHeight="1" x14ac:dyDescent="0.2"/>
    <row r="10" spans="1:14" ht="13.5" customHeight="1" x14ac:dyDescent="0.2"/>
    <row r="11" spans="1:14" ht="13.5" customHeight="1" x14ac:dyDescent="0.2"/>
    <row r="12" spans="1:14" ht="13.5" customHeight="1" x14ac:dyDescent="0.2"/>
    <row r="13" spans="1:14" ht="13.5" customHeight="1" x14ac:dyDescent="0.2"/>
    <row r="14" spans="1:14" ht="13.5" customHeight="1" x14ac:dyDescent="0.2"/>
    <row r="15" spans="1:14" ht="13.5" customHeight="1" x14ac:dyDescent="0.2"/>
    <row r="16" spans="1:14" ht="13.5" customHeight="1" x14ac:dyDescent="0.2"/>
    <row r="17" spans="35:35" ht="13.5" customHeight="1" x14ac:dyDescent="0.2"/>
    <row r="18" spans="35:35" ht="13.5" customHeight="1" x14ac:dyDescent="0.2"/>
    <row r="19" spans="35:35" ht="13.5" customHeight="1" x14ac:dyDescent="0.2"/>
    <row r="20" spans="35:35" ht="13.5" customHeight="1" x14ac:dyDescent="0.2">
      <c r="AI20" s="1">
        <v>260</v>
      </c>
    </row>
    <row r="21" spans="35:35" ht="13.5" customHeight="1" x14ac:dyDescent="0.2"/>
    <row r="22" spans="35:35" ht="13.5" customHeight="1" x14ac:dyDescent="0.2"/>
    <row r="23" spans="35:35" ht="13.5" customHeight="1" x14ac:dyDescent="0.2"/>
    <row r="24" spans="35:35" ht="13.5" customHeight="1" x14ac:dyDescent="0.2"/>
    <row r="25" spans="35:35" ht="13.5" customHeight="1" x14ac:dyDescent="0.2"/>
    <row r="26" spans="35:35" ht="13.5" customHeight="1" x14ac:dyDescent="0.2"/>
    <row r="27" spans="35:35" ht="13.5" customHeight="1" x14ac:dyDescent="0.2"/>
    <row r="28" spans="35:35" ht="13.5" customHeight="1" x14ac:dyDescent="0.2"/>
    <row r="29" spans="35:35" ht="13.5" customHeight="1" x14ac:dyDescent="0.2"/>
    <row r="30" spans="35:35" ht="13.5" customHeight="1" x14ac:dyDescent="0.2"/>
    <row r="31" spans="35:35" ht="13.5" customHeight="1" x14ac:dyDescent="0.2"/>
    <row r="32" spans="35:35" ht="13.5" customHeight="1" x14ac:dyDescent="0.2"/>
    <row r="33" spans="1:44" ht="13.5" customHeight="1" x14ac:dyDescent="0.2">
      <c r="AJ33" s="2"/>
      <c r="AK33" s="2"/>
      <c r="AL33" s="2"/>
      <c r="AM33" s="2"/>
      <c r="AN33" s="2"/>
      <c r="AO33" s="2"/>
      <c r="AP33" s="2"/>
    </row>
    <row r="34" spans="1:44" s="46" customFormat="1" ht="16.2" customHeight="1" x14ac:dyDescent="0.2">
      <c r="B34" s="45"/>
      <c r="C34" s="45"/>
      <c r="D34" s="4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4"/>
      <c r="S34" s="45"/>
      <c r="T34" s="45"/>
      <c r="U34" s="45"/>
      <c r="V34" s="45"/>
      <c r="W34" s="44"/>
      <c r="X34" s="45"/>
      <c r="Y34" s="45"/>
      <c r="Z34" s="45"/>
      <c r="AA34" s="44"/>
      <c r="AB34" s="45"/>
      <c r="AC34" s="45"/>
      <c r="AD34" s="45"/>
      <c r="AE34" s="45"/>
      <c r="AF34" s="45"/>
      <c r="AG34" s="45"/>
      <c r="AH34" s="45"/>
      <c r="AI34" s="45"/>
      <c r="AJ34" s="49"/>
      <c r="AM34" s="45"/>
      <c r="AN34" s="49"/>
      <c r="AO34" s="45"/>
      <c r="AP34" s="45"/>
      <c r="AQ34" s="45"/>
      <c r="AR34" s="45"/>
    </row>
    <row r="35" spans="1:44" ht="13.5" customHeight="1" x14ac:dyDescent="0.2">
      <c r="A35" s="50">
        <f>集計表!C1</f>
        <v>46174</v>
      </c>
      <c r="B35" s="51" t="str">
        <f>集計表!D1</f>
        <v>6/1</v>
      </c>
      <c r="C35" s="52" t="str">
        <f>集計表!E1</f>
        <v>2</v>
      </c>
      <c r="D35" s="52" t="str">
        <f>集計表!F1</f>
        <v>4</v>
      </c>
      <c r="E35" s="52" t="str">
        <f>集計表!G1</f>
        <v>5</v>
      </c>
      <c r="F35" s="52" t="str">
        <f>集計表!H1</f>
        <v>6</v>
      </c>
      <c r="G35" s="52" t="str">
        <f>集計表!I1</f>
        <v>8</v>
      </c>
      <c r="H35" s="52" t="str">
        <f>集計表!J1</f>
        <v>9</v>
      </c>
      <c r="I35" s="52" t="str">
        <f>集計表!K1</f>
        <v>11</v>
      </c>
      <c r="J35" s="52" t="str">
        <f>集計表!L1</f>
        <v>12</v>
      </c>
      <c r="K35" s="52" t="str">
        <f>集計表!M1</f>
        <v>13</v>
      </c>
      <c r="L35" s="52" t="str">
        <f>集計表!N1</f>
        <v>15</v>
      </c>
      <c r="M35" s="52" t="str">
        <f>集計表!O1</f>
        <v>16</v>
      </c>
      <c r="N35" s="52" t="str">
        <f>集計表!P1</f>
        <v>18</v>
      </c>
      <c r="O35" s="52" t="str">
        <f>集計表!Q1</f>
        <v>19</v>
      </c>
      <c r="P35" s="53" t="str">
        <f>集計表!R1</f>
        <v>20</v>
      </c>
      <c r="Q35" s="52" t="str">
        <f>集計表!S1</f>
        <v>22</v>
      </c>
      <c r="R35" s="52" t="str">
        <f>集計表!T1</f>
        <v>23</v>
      </c>
      <c r="S35" s="52" t="str">
        <f>集計表!U1</f>
        <v>25</v>
      </c>
      <c r="T35" s="52" t="str">
        <f>集計表!V1</f>
        <v>26</v>
      </c>
      <c r="U35" s="52" t="str">
        <f>集計表!W1</f>
        <v>27</v>
      </c>
      <c r="V35" s="52" t="str">
        <f>集計表!X1</f>
        <v>29</v>
      </c>
      <c r="W35" s="52" t="str">
        <f>集計表!Y1</f>
        <v>30</v>
      </c>
      <c r="X35" s="52" t="str">
        <f>集計表!Z1</f>
        <v>7/2</v>
      </c>
      <c r="Y35" s="52" t="str">
        <f>集計表!AA1</f>
        <v>3</v>
      </c>
      <c r="Z35" s="52" t="str">
        <f>集計表!AB1</f>
        <v>4</v>
      </c>
      <c r="AA35" s="52" t="str">
        <f>集計表!AC1</f>
        <v>6</v>
      </c>
      <c r="AB35" s="52" t="str">
        <f>集計表!AD1</f>
        <v>7</v>
      </c>
      <c r="AC35" s="52" t="str">
        <f>集計表!AE1</f>
        <v>9</v>
      </c>
      <c r="AD35" s="52" t="str">
        <f>集計表!AF1</f>
        <v>10</v>
      </c>
      <c r="AE35" s="52" t="str">
        <f>集計表!AG1</f>
        <v>11</v>
      </c>
      <c r="AF35" s="52" t="str">
        <f>集計表!AH1</f>
        <v>13</v>
      </c>
      <c r="AG35" s="52" t="str">
        <f>集計表!AI1</f>
        <v>14</v>
      </c>
      <c r="AH35" s="52" t="str">
        <f>集計表!AJ1</f>
        <v>16</v>
      </c>
      <c r="AI35" s="52" t="str">
        <f>集計表!AK1</f>
        <v>17</v>
      </c>
      <c r="AJ35" s="52" t="str">
        <f>集計表!AL1</f>
        <v>18</v>
      </c>
      <c r="AK35" s="52" t="str">
        <f>集計表!AM1</f>
        <v>21</v>
      </c>
      <c r="AL35" s="52" t="str">
        <f>集計表!AN1</f>
        <v>23</v>
      </c>
      <c r="AM35" s="52" t="str">
        <f>集計表!AO1</f>
        <v>24</v>
      </c>
      <c r="AN35" s="52" t="str">
        <f>集計表!AP1</f>
        <v>25</v>
      </c>
      <c r="AO35" s="52" t="str">
        <f>集計表!AQ1</f>
        <v>27</v>
      </c>
      <c r="AP35" s="52" t="str">
        <f>集計表!AR1</f>
        <v>28</v>
      </c>
      <c r="AQ35" s="52" t="str">
        <f>集計表!AS1</f>
        <v>30</v>
      </c>
      <c r="AR35" s="52" t="str">
        <f>集計表!AT1</f>
        <v>31</v>
      </c>
    </row>
    <row r="36" spans="1:44" s="48" customFormat="1" ht="13.5" customHeight="1" x14ac:dyDescent="0.2">
      <c r="A36" s="54" t="s">
        <v>0</v>
      </c>
      <c r="B36" s="47">
        <f>IF(集計表!D3="","",集計表!D3)</f>
        <v>352.06799999999998</v>
      </c>
      <c r="C36" s="34">
        <f>IF(集計表!E3="","",集計表!E3)</f>
        <v>427.07299999999998</v>
      </c>
      <c r="D36" s="34">
        <f>IF(集計表!F3="","",集計表!F3)</f>
        <v>229.601</v>
      </c>
      <c r="E36" s="34">
        <f>IF(集計表!G3="","",集計表!G3)</f>
        <v>220.352</v>
      </c>
      <c r="F36" s="34">
        <f>IF(集計表!H3="","",集計表!H3)</f>
        <v>318.72000000000003</v>
      </c>
      <c r="G36" s="34">
        <f>IF(集計表!I3="","",集計表!I3)</f>
        <v>338</v>
      </c>
      <c r="H36" s="34">
        <f>IF(集計表!J3="","",集計表!J3)</f>
        <v>318.53699999999998</v>
      </c>
      <c r="I36" s="34">
        <f>IF(集計表!K3="","",集計表!K3)</f>
        <v>245.78399999999999</v>
      </c>
      <c r="J36" s="34">
        <f>IF(集計表!L3="","",集計表!L3)</f>
        <v>272.56900000000002</v>
      </c>
      <c r="K36" s="34">
        <f>IF(集計表!M3="","",集計表!M3)</f>
        <v>329.89400000000001</v>
      </c>
      <c r="L36" s="34">
        <f>IF(集計表!N3="","",集計表!N3)</f>
        <v>293.33800000000002</v>
      </c>
      <c r="M36" s="34">
        <f>IF(集計表!O3="","",集計表!O3)</f>
        <v>301.83800000000002</v>
      </c>
      <c r="N36" s="34">
        <f>IF(集計表!P3="","",集計表!P3)</f>
        <v>243.982</v>
      </c>
      <c r="O36" s="34">
        <f>IF(集計表!Q3="","",集計表!Q3)</f>
        <v>270.86700000000002</v>
      </c>
      <c r="P36" s="34">
        <f>IF(集計表!R3="","",集計表!R3)</f>
        <v>249.471</v>
      </c>
      <c r="Q36" s="34">
        <f>IF(集計表!S3="","",集計表!S3)</f>
        <v>259.166</v>
      </c>
      <c r="R36" s="34">
        <f>IF(集計表!T3="","",集計表!T3)</f>
        <v>215.102</v>
      </c>
      <c r="S36" s="34">
        <f>IF(集計表!U3="","",集計表!U3)</f>
        <v>203.83099999999999</v>
      </c>
      <c r="T36" s="34">
        <f>IF(集計表!V3="","",集計表!V3)</f>
        <v>170.62299999999999</v>
      </c>
      <c r="U36" s="34">
        <f>IF(集計表!W3="","",集計表!W3)</f>
        <v>255.03399999999999</v>
      </c>
      <c r="V36" s="34">
        <f>IF(集計表!X3="","",集計表!X3)</f>
        <v>218.03200000000001</v>
      </c>
      <c r="W36" s="34">
        <f>IF(集計表!Y3="","",集計表!Y3)</f>
        <v>216.84700000000001</v>
      </c>
      <c r="X36" s="47">
        <f>IF(集計表!Z3="","",集計表!Z3)</f>
        <v>264.01400000000001</v>
      </c>
      <c r="Y36" s="34">
        <f>IF(集計表!AA3="","",集計表!AA3)</f>
        <v>331.46300000000002</v>
      </c>
      <c r="Z36" s="34">
        <f>IF(集計表!AB3="","",集計表!AB3)</f>
        <v>243.02600000000001</v>
      </c>
      <c r="AA36" s="34">
        <f>IF(集計表!AC3="","",集計表!AC3)</f>
        <v>267.024</v>
      </c>
      <c r="AB36" s="34">
        <f>IF(集計表!AD3="","",集計表!AD3)</f>
        <v>269.59899999999999</v>
      </c>
      <c r="AC36" s="34" t="str">
        <f>IF(集計表!AE3="","",集計表!AE3)</f>
        <v/>
      </c>
      <c r="AD36" s="34" t="str">
        <f>IF(集計表!AF3="","",集計表!AF3)</f>
        <v/>
      </c>
      <c r="AE36" s="34" t="str">
        <f>IF(集計表!AG3="","",集計表!AG3)</f>
        <v/>
      </c>
      <c r="AF36" s="34" t="str">
        <f>IF(集計表!AH3="","",集計表!AH3)</f>
        <v/>
      </c>
      <c r="AG36" s="34" t="str">
        <f>IF(集計表!AI3="","",集計表!AI3)</f>
        <v/>
      </c>
      <c r="AH36" s="34" t="str">
        <f>IF(集計表!AJ3="","",集計表!AJ3)</f>
        <v/>
      </c>
      <c r="AI36" s="34" t="str">
        <f>IF(集計表!AK3="","",集計表!AK3)</f>
        <v/>
      </c>
      <c r="AJ36" s="34" t="str">
        <f>IF(集計表!AL3="","",集計表!AL3)</f>
        <v/>
      </c>
      <c r="AK36" s="34" t="str">
        <f>IF(集計表!AM3="","",集計表!AM3)</f>
        <v/>
      </c>
      <c r="AL36" s="34" t="str">
        <f>IF(集計表!AN3="","",集計表!AN3)</f>
        <v/>
      </c>
      <c r="AM36" s="34" t="str">
        <f>IF(集計表!AO3="","",集計表!AO3)</f>
        <v/>
      </c>
      <c r="AN36" s="34" t="str">
        <f>IF(集計表!AP3="","",集計表!AP3)</f>
        <v/>
      </c>
      <c r="AO36" s="34" t="str">
        <f>IF(集計表!AQ3="","",集計表!AQ3)</f>
        <v/>
      </c>
      <c r="AP36" s="34" t="str">
        <f>IF(集計表!AR3="","",集計表!AR3)</f>
        <v/>
      </c>
      <c r="AQ36" s="34" t="str">
        <f>IF(集計表!AS3="","",集計表!AS3)</f>
        <v/>
      </c>
      <c r="AR36" s="34" t="str">
        <f>IF(集計表!AT3="","",集計表!AT3)</f>
        <v/>
      </c>
    </row>
    <row r="37" spans="1:44" s="48" customFormat="1" ht="13.5" customHeight="1" x14ac:dyDescent="0.2">
      <c r="A37" s="54" t="s">
        <v>1</v>
      </c>
      <c r="B37" s="34">
        <f>IF(集計表!D4=0,NA(),集計表!D4)</f>
        <v>81</v>
      </c>
      <c r="C37" s="34">
        <f>IF(集計表!E4=0,NA(),集計表!E4)</f>
        <v>75</v>
      </c>
      <c r="D37" s="34">
        <f>IF(集計表!F4=0,NA(),集計表!F4)</f>
        <v>93</v>
      </c>
      <c r="E37" s="34">
        <f>IF(集計表!G4=0,NA(),集計表!G4)</f>
        <v>93</v>
      </c>
      <c r="F37" s="34">
        <f>IF(集計表!H4=0,NA(),集計表!H4)</f>
        <v>93</v>
      </c>
      <c r="G37" s="34">
        <f>IF(集計表!I4=0,NA(),集計表!I4)</f>
        <v>90</v>
      </c>
      <c r="H37" s="34">
        <f>IF(集計表!J4=0,NA(),集計表!J4)</f>
        <v>100</v>
      </c>
      <c r="I37" s="34">
        <f>IF(集計表!K4=0,NA(),集計表!K4)</f>
        <v>112</v>
      </c>
      <c r="J37" s="34">
        <f>IF(集計表!L4=0,NA(),集計表!L4)</f>
        <v>111</v>
      </c>
      <c r="K37" s="34">
        <f>IF(集計表!M4=0,NA(),集計表!M4)</f>
        <v>115</v>
      </c>
      <c r="L37" s="34">
        <f>IF(集計表!N4=0,NA(),集計表!N4)</f>
        <v>112</v>
      </c>
      <c r="M37" s="34">
        <f>IF(集計表!O4=0,NA(),集計表!O4)</f>
        <v>109</v>
      </c>
      <c r="N37" s="34">
        <f>IF(集計表!P4=0,NA(),集計表!P4)</f>
        <v>110</v>
      </c>
      <c r="O37" s="34">
        <f>IF(集計表!Q4=0,NA(),集計表!Q4)</f>
        <v>108</v>
      </c>
      <c r="P37" s="34">
        <f>IF(集計表!R4=0,NA(),集計表!R4)</f>
        <v>108</v>
      </c>
      <c r="Q37" s="34">
        <f>IF(集計表!S4=0,NA(),集計表!S4)</f>
        <v>116</v>
      </c>
      <c r="R37" s="34">
        <f>IF(集計表!T4=0,NA(),集計表!T4)</f>
        <v>115</v>
      </c>
      <c r="S37" s="34">
        <f>IF(集計表!U4=0,NA(),集計表!U4)</f>
        <v>122</v>
      </c>
      <c r="T37" s="34">
        <f>IF(集計表!V4=0,NA(),集計表!V4)</f>
        <v>136</v>
      </c>
      <c r="U37" s="34">
        <f>IF(集計表!W4=0,NA(),集計表!W4)</f>
        <v>135</v>
      </c>
      <c r="V37" s="34">
        <f>IF(集計表!X4=0,NA(),集計表!X4)</f>
        <v>149</v>
      </c>
      <c r="W37" s="34">
        <f>IF(集計表!Y4=0,NA(),集計表!Y4)</f>
        <v>142</v>
      </c>
      <c r="X37" s="34">
        <f>IF(集計表!Z4=0,NA(),集計表!Z4)</f>
        <v>147</v>
      </c>
      <c r="Y37" s="34">
        <f>IF(集計表!AA4=0,NA(),集計表!AA4)</f>
        <v>145</v>
      </c>
      <c r="Z37" s="34">
        <f>IF(集計表!AB4=0,NA(),集計表!AB4)</f>
        <v>147</v>
      </c>
      <c r="AA37" s="34">
        <f>IF(集計表!AC4=0,NA(),集計表!AC4)</f>
        <v>149</v>
      </c>
      <c r="AB37" s="34">
        <f>IF(集計表!AD4=0,NA(),集計表!AD4)</f>
        <v>148</v>
      </c>
      <c r="AC37" s="34" t="e">
        <f>IF(集計表!AE4=0,NA(),集計表!AE4)</f>
        <v>#N/A</v>
      </c>
      <c r="AD37" s="34" t="e">
        <f>IF(集計表!AF4=0,NA(),集計表!AF4)</f>
        <v>#N/A</v>
      </c>
      <c r="AE37" s="34" t="e">
        <f>IF(集計表!AG4=0,NA(),集計表!AG4)</f>
        <v>#N/A</v>
      </c>
      <c r="AF37" s="34" t="e">
        <f>IF(集計表!AH4=0,NA(),集計表!AH4)</f>
        <v>#N/A</v>
      </c>
      <c r="AG37" s="34" t="e">
        <f>IF(集計表!AI4=0,NA(),集計表!AI4)</f>
        <v>#N/A</v>
      </c>
      <c r="AH37" s="34" t="e">
        <f>IF(集計表!AJ4=0,NA(),集計表!AJ4)</f>
        <v>#N/A</v>
      </c>
      <c r="AI37" s="34" t="e">
        <f>IF(集計表!AK4=0,NA(),集計表!AK4)</f>
        <v>#N/A</v>
      </c>
      <c r="AJ37" s="34" t="e">
        <f>IF(集計表!AL4=0,NA(),集計表!AL4)</f>
        <v>#N/A</v>
      </c>
      <c r="AK37" s="34" t="e">
        <f>IF(集計表!AM4=0,NA(),集計表!AM4)</f>
        <v>#N/A</v>
      </c>
      <c r="AL37" s="34" t="e">
        <f>IF(集計表!AN4=0,NA(),集計表!AN4)</f>
        <v>#N/A</v>
      </c>
      <c r="AM37" s="34" t="e">
        <f>IF(集計表!AO4=0,NA(),集計表!AO4)</f>
        <v>#N/A</v>
      </c>
      <c r="AN37" s="34" t="e">
        <f>IF(集計表!AP4=0,NA(),集計表!AP4)</f>
        <v>#N/A</v>
      </c>
      <c r="AO37" s="34" t="e">
        <f>IF(集計表!AQ4=0,NA(),集計表!AQ4)</f>
        <v>#N/A</v>
      </c>
      <c r="AP37" s="34" t="e">
        <f>IF(集計表!AR4=0,NA(),集計表!AR4)</f>
        <v>#N/A</v>
      </c>
      <c r="AQ37" s="34" t="e">
        <f>IF(集計表!AS4=0,NA(),集計表!AS4)</f>
        <v>#N/A</v>
      </c>
      <c r="AR37" s="34" t="e">
        <f>IF(集計表!AT4=0,NA(),集計表!AT4)</f>
        <v>#N/A</v>
      </c>
    </row>
    <row r="38" spans="1:44" s="48" customFormat="1" ht="13.5" customHeight="1" x14ac:dyDescent="0.2">
      <c r="A38" s="54" t="s">
        <v>2</v>
      </c>
      <c r="B38" s="34">
        <f>集計表!D5</f>
        <v>104</v>
      </c>
      <c r="C38" s="34">
        <f>集計表!E5</f>
        <v>104</v>
      </c>
      <c r="D38" s="34">
        <f>集計表!F5</f>
        <v>104</v>
      </c>
      <c r="E38" s="34">
        <f>集計表!G5</f>
        <v>104</v>
      </c>
      <c r="F38" s="34">
        <f>集計表!H5</f>
        <v>104</v>
      </c>
      <c r="G38" s="34">
        <f>集計表!I5</f>
        <v>104</v>
      </c>
      <c r="H38" s="34">
        <f>集計表!J5</f>
        <v>104</v>
      </c>
      <c r="I38" s="34">
        <f>集計表!K5</f>
        <v>104</v>
      </c>
      <c r="J38" s="34">
        <f>集計表!L5</f>
        <v>104</v>
      </c>
      <c r="K38" s="34">
        <f>集計表!M5</f>
        <v>104</v>
      </c>
      <c r="L38" s="34">
        <f>集計表!N5</f>
        <v>104</v>
      </c>
      <c r="M38" s="34">
        <f>集計表!O5</f>
        <v>104</v>
      </c>
      <c r="N38" s="34">
        <f>集計表!P5</f>
        <v>104</v>
      </c>
      <c r="O38" s="34">
        <f>集計表!Q5</f>
        <v>104</v>
      </c>
      <c r="P38" s="34">
        <f>集計表!R5</f>
        <v>104</v>
      </c>
      <c r="Q38" s="34">
        <f>集計表!S5</f>
        <v>98</v>
      </c>
      <c r="R38" s="34">
        <f>集計表!T5</f>
        <v>98</v>
      </c>
      <c r="S38" s="34">
        <f>集計表!U5</f>
        <v>98</v>
      </c>
      <c r="T38" s="34">
        <f>集計表!V5</f>
        <v>98</v>
      </c>
      <c r="U38" s="34">
        <f>集計表!W5</f>
        <v>98</v>
      </c>
      <c r="V38" s="34">
        <f>集計表!X5</f>
        <v>98</v>
      </c>
      <c r="W38" s="34">
        <f>集計表!Y5</f>
        <v>98</v>
      </c>
      <c r="X38" s="34">
        <f>集計表!Z5</f>
        <v>112</v>
      </c>
      <c r="Y38" s="34">
        <f>集計表!AA5</f>
        <v>112</v>
      </c>
      <c r="Z38" s="34">
        <f>集計表!AB5</f>
        <v>112</v>
      </c>
      <c r="AA38" s="34">
        <f>集計表!AC5</f>
        <v>112</v>
      </c>
      <c r="AB38" s="34">
        <f>集計表!AD5</f>
        <v>112</v>
      </c>
      <c r="AC38" s="34">
        <f>集計表!AE5</f>
        <v>112</v>
      </c>
      <c r="AD38" s="34">
        <f>集計表!AF5</f>
        <v>112</v>
      </c>
      <c r="AE38" s="34">
        <f>集計表!AG5</f>
        <v>102</v>
      </c>
      <c r="AF38" s="34">
        <f>集計表!AH5</f>
        <v>102</v>
      </c>
      <c r="AG38" s="34">
        <f>集計表!AI5</f>
        <v>102</v>
      </c>
      <c r="AH38" s="34">
        <f>集計表!AJ5</f>
        <v>102</v>
      </c>
      <c r="AI38" s="34">
        <f>集計表!AK5</f>
        <v>102</v>
      </c>
      <c r="AJ38" s="34">
        <f>集計表!AL5</f>
        <v>102</v>
      </c>
      <c r="AK38" s="34">
        <f>集計表!AM5</f>
        <v>102</v>
      </c>
      <c r="AL38" s="34">
        <f>集計表!AN5</f>
        <v>102</v>
      </c>
      <c r="AM38" s="34">
        <f>集計表!AO5</f>
        <v>102</v>
      </c>
      <c r="AN38" s="34">
        <f>集計表!AP5</f>
        <v>102</v>
      </c>
      <c r="AO38" s="34">
        <f>集計表!AQ5</f>
        <v>102</v>
      </c>
      <c r="AP38" s="34">
        <f>集計表!AR5</f>
        <v>102</v>
      </c>
      <c r="AQ38" s="34">
        <f>集計表!AS5</f>
        <v>102</v>
      </c>
      <c r="AR38" s="34">
        <f>集計表!AT5</f>
        <v>102</v>
      </c>
    </row>
    <row r="39" spans="1:44" ht="13.5" customHeight="1" x14ac:dyDescent="0.2">
      <c r="A39" s="55" t="s">
        <v>20</v>
      </c>
      <c r="B39" s="56">
        <f>IFERROR(B37/B38, "")</f>
        <v>0.77884615384615385</v>
      </c>
      <c r="C39" s="57">
        <f t="shared" ref="C39:AM39" si="0">IFERROR(C37/C38, "")</f>
        <v>0.72115384615384615</v>
      </c>
      <c r="D39" s="56">
        <f t="shared" si="0"/>
        <v>0.89423076923076927</v>
      </c>
      <c r="E39" s="56">
        <f t="shared" si="0"/>
        <v>0.89423076923076927</v>
      </c>
      <c r="F39" s="56">
        <f t="shared" si="0"/>
        <v>0.89423076923076927</v>
      </c>
      <c r="G39" s="56">
        <f t="shared" si="0"/>
        <v>0.86538461538461542</v>
      </c>
      <c r="H39" s="57">
        <f t="shared" si="0"/>
        <v>0.96153846153846156</v>
      </c>
      <c r="I39" s="56">
        <f t="shared" si="0"/>
        <v>1.0769230769230769</v>
      </c>
      <c r="J39" s="56">
        <f t="shared" si="0"/>
        <v>1.0673076923076923</v>
      </c>
      <c r="K39" s="56">
        <f t="shared" si="0"/>
        <v>1.1057692307692308</v>
      </c>
      <c r="L39" s="56">
        <f t="shared" si="0"/>
        <v>1.0769230769230769</v>
      </c>
      <c r="M39" s="56">
        <f t="shared" si="0"/>
        <v>1.0480769230769231</v>
      </c>
      <c r="N39" s="56">
        <f t="shared" si="0"/>
        <v>1.0576923076923077</v>
      </c>
      <c r="O39" s="56">
        <f t="shared" si="0"/>
        <v>1.0384615384615385</v>
      </c>
      <c r="P39" s="56">
        <f t="shared" si="0"/>
        <v>1.0384615384615385</v>
      </c>
      <c r="Q39" s="57">
        <f t="shared" si="0"/>
        <v>1.1836734693877551</v>
      </c>
      <c r="R39" s="57">
        <f t="shared" si="0"/>
        <v>1.1734693877551021</v>
      </c>
      <c r="S39" s="56">
        <f t="shared" si="0"/>
        <v>1.2448979591836735</v>
      </c>
      <c r="T39" s="56">
        <f t="shared" si="0"/>
        <v>1.3877551020408163</v>
      </c>
      <c r="U39" s="57">
        <f t="shared" si="0"/>
        <v>1.3775510204081634</v>
      </c>
      <c r="V39" s="56">
        <f t="shared" si="0"/>
        <v>1.5204081632653061</v>
      </c>
      <c r="W39" s="56">
        <f t="shared" si="0"/>
        <v>1.4489795918367347</v>
      </c>
      <c r="X39" s="56">
        <f t="shared" si="0"/>
        <v>1.3125</v>
      </c>
      <c r="Y39" s="57">
        <f t="shared" si="0"/>
        <v>1.2946428571428572</v>
      </c>
      <c r="Z39" s="56">
        <f t="shared" si="0"/>
        <v>1.3125</v>
      </c>
      <c r="AA39" s="56">
        <f t="shared" si="0"/>
        <v>1.3303571428571428</v>
      </c>
      <c r="AB39" s="56">
        <f t="shared" si="0"/>
        <v>1.3214285714285714</v>
      </c>
      <c r="AC39" s="57" t="str">
        <f t="shared" si="0"/>
        <v/>
      </c>
      <c r="AD39" s="56" t="str">
        <f t="shared" si="0"/>
        <v/>
      </c>
      <c r="AE39" s="56" t="str">
        <f t="shared" si="0"/>
        <v/>
      </c>
      <c r="AF39" s="56" t="str">
        <f t="shared" si="0"/>
        <v/>
      </c>
      <c r="AG39" s="56" t="str">
        <f t="shared" si="0"/>
        <v/>
      </c>
      <c r="AH39" s="56" t="str">
        <f t="shared" si="0"/>
        <v/>
      </c>
      <c r="AI39" s="56" t="str">
        <f t="shared" si="0"/>
        <v/>
      </c>
      <c r="AJ39" s="56" t="str">
        <f t="shared" si="0"/>
        <v/>
      </c>
      <c r="AK39" s="57" t="str">
        <f t="shared" si="0"/>
        <v/>
      </c>
      <c r="AL39" s="57" t="str">
        <f t="shared" si="0"/>
        <v/>
      </c>
      <c r="AM39" s="56" t="str">
        <f t="shared" si="0"/>
        <v/>
      </c>
      <c r="AN39" s="57" t="str">
        <f t="shared" ref="AN39:AO39" si="1">IFERROR(AN37/AN38, "")</f>
        <v/>
      </c>
      <c r="AO39" s="56" t="str">
        <f t="shared" si="1"/>
        <v/>
      </c>
      <c r="AP39" s="56" t="str">
        <f t="shared" ref="AP39:AQ39" si="2">IFERROR(AP37/AP38, "")</f>
        <v/>
      </c>
      <c r="AQ39" s="56" t="str">
        <f t="shared" si="2"/>
        <v/>
      </c>
      <c r="AR39" s="56" t="str">
        <f t="shared" ref="AR39" si="3">IFERROR(AR37/AR38, "")</f>
        <v/>
      </c>
    </row>
    <row r="40" spans="1:44" s="38" customFormat="1" ht="30" customHeight="1" x14ac:dyDescent="0.2">
      <c r="A40" s="38" t="s">
        <v>24</v>
      </c>
      <c r="B40" s="39"/>
      <c r="C40" s="39"/>
      <c r="D40" s="40"/>
      <c r="E40" s="39"/>
      <c r="F40" s="41"/>
      <c r="G40" s="39"/>
      <c r="H40" s="39"/>
      <c r="I40" s="39"/>
      <c r="J40" s="39"/>
      <c r="K40" s="42"/>
      <c r="L40" s="39"/>
      <c r="M40" s="42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Q40"/>
      <c r="AR40"/>
    </row>
    <row r="41" spans="1:44" ht="15.6" x14ac:dyDescent="0.2">
      <c r="A41" s="23" t="s">
        <v>10</v>
      </c>
      <c r="B41" s="13"/>
      <c r="C41" s="13"/>
      <c r="D41" s="13"/>
      <c r="E41" s="13"/>
      <c r="F41" s="13"/>
      <c r="G41" s="13"/>
      <c r="H41" s="13"/>
      <c r="I41" s="13"/>
      <c r="J41" s="13"/>
      <c r="L41" s="13" t="str">
        <f>TEXT(集計表!$C$1,"(e.m/d～)")</f>
        <v>(8.6/1～)</v>
      </c>
      <c r="M41" s="13"/>
      <c r="N41" s="13"/>
      <c r="Z41" s="29"/>
      <c r="AA41" s="29"/>
      <c r="AB41" s="29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</row>
    <row r="42" spans="1:44" ht="15.6" x14ac:dyDescent="0.2">
      <c r="A42" s="23" t="s">
        <v>13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Z42" s="29"/>
      <c r="AA42" s="29"/>
      <c r="AB42" s="29"/>
      <c r="AC42" s="30"/>
      <c r="AD42" s="30"/>
      <c r="AE42" s="30"/>
      <c r="AF42" s="30"/>
      <c r="AG42" s="30"/>
      <c r="AH42" s="30"/>
      <c r="AI42" s="30"/>
      <c r="AJ42" s="30"/>
      <c r="AK42" s="30"/>
      <c r="AL42" s="31"/>
      <c r="AM42" s="31"/>
      <c r="AN42" s="30"/>
      <c r="AO42" s="30"/>
      <c r="AP42" s="30"/>
    </row>
    <row r="43" spans="1:44" ht="15.75" customHeight="1" x14ac:dyDescent="0.2">
      <c r="Z43" s="29"/>
      <c r="AA43" s="29"/>
      <c r="AB43" s="29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</row>
    <row r="44" spans="1:44" x14ac:dyDescent="0.2">
      <c r="Z44" s="29"/>
      <c r="AA44" s="29"/>
      <c r="AB44" s="29"/>
      <c r="AC44" s="30"/>
      <c r="AD44" s="30"/>
      <c r="AE44" s="30"/>
      <c r="AF44" s="30"/>
      <c r="AG44" s="30"/>
      <c r="AH44" s="30"/>
      <c r="AI44" s="30"/>
      <c r="AJ44" s="30"/>
      <c r="AK44" s="30"/>
      <c r="AL44" s="32"/>
      <c r="AM44" s="32"/>
      <c r="AN44" s="30"/>
      <c r="AO44" s="30"/>
      <c r="AP44" s="30"/>
    </row>
    <row r="45" spans="1:44" x14ac:dyDescent="0.2">
      <c r="Z45" s="29"/>
      <c r="AA45" s="29"/>
      <c r="AB45" s="29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</row>
    <row r="46" spans="1:44" x14ac:dyDescent="0.2">
      <c r="Z46" s="29"/>
      <c r="AA46" s="29"/>
      <c r="AB46" s="29"/>
      <c r="AC46" s="30"/>
      <c r="AD46" s="30"/>
      <c r="AE46" s="30"/>
      <c r="AF46" s="30"/>
      <c r="AG46" s="30"/>
      <c r="AH46" s="30"/>
      <c r="AI46" s="30"/>
      <c r="AJ46" s="30"/>
      <c r="AK46" s="30"/>
      <c r="AL46"/>
      <c r="AM46"/>
      <c r="AN46" s="30"/>
      <c r="AO46" s="30"/>
      <c r="AP46" s="30"/>
    </row>
    <row r="47" spans="1:44" x14ac:dyDescent="0.2">
      <c r="Z47" s="29"/>
      <c r="AA47" s="29"/>
      <c r="AB47" s="29"/>
      <c r="AC47" s="30"/>
      <c r="AD47" s="30"/>
      <c r="AE47" s="30"/>
      <c r="AF47" s="30"/>
      <c r="AG47" s="30"/>
      <c r="AH47" s="30"/>
      <c r="AI47" s="30"/>
      <c r="AJ47" s="30"/>
      <c r="AK47" s="30"/>
      <c r="AL47"/>
      <c r="AM47"/>
      <c r="AN47" s="30"/>
      <c r="AO47" s="30"/>
      <c r="AP47" s="30"/>
    </row>
    <row r="48" spans="1:44" x14ac:dyDescent="0.2">
      <c r="Z48" s="29"/>
      <c r="AA48" s="29"/>
      <c r="AB48" s="29"/>
      <c r="AC48" s="30"/>
      <c r="AD48" s="30"/>
      <c r="AE48" s="30"/>
      <c r="AF48" s="30"/>
      <c r="AG48" s="30"/>
      <c r="AH48" s="30"/>
      <c r="AI48" s="30"/>
      <c r="AJ48" s="30"/>
      <c r="AK48" s="30"/>
      <c r="AL48" s="31"/>
      <c r="AM48" s="31"/>
      <c r="AN48" s="30"/>
      <c r="AO48" s="30"/>
      <c r="AP48" s="30"/>
    </row>
    <row r="49" spans="26:42" x14ac:dyDescent="0.2">
      <c r="Z49" s="29"/>
      <c r="AA49" s="29"/>
      <c r="AB49" s="29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</row>
    <row r="50" spans="26:42" x14ac:dyDescent="0.2">
      <c r="Z50" s="29"/>
      <c r="AA50" s="29"/>
      <c r="AB50" s="29"/>
      <c r="AC50" s="30"/>
      <c r="AD50" s="30"/>
      <c r="AE50" s="30"/>
      <c r="AF50" s="30"/>
      <c r="AG50" s="30"/>
      <c r="AH50" s="30"/>
      <c r="AI50" s="30"/>
      <c r="AJ50" s="30"/>
      <c r="AK50" s="30"/>
      <c r="AL50" s="32"/>
      <c r="AM50" s="32"/>
      <c r="AN50" s="30"/>
      <c r="AO50" s="30"/>
      <c r="AP50" s="30"/>
    </row>
    <row r="51" spans="26:42" x14ac:dyDescent="0.2">
      <c r="Z51" s="29"/>
      <c r="AA51" s="29"/>
      <c r="AB51" s="29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</row>
    <row r="52" spans="26:42" x14ac:dyDescent="0.2">
      <c r="Z52" s="29"/>
      <c r="AA52" s="29"/>
      <c r="AB52" s="29"/>
      <c r="AC52" s="30"/>
      <c r="AD52" s="30"/>
      <c r="AE52" s="30"/>
      <c r="AF52" s="30"/>
      <c r="AG52" s="30"/>
      <c r="AH52" s="30"/>
      <c r="AI52" s="30"/>
      <c r="AJ52" s="30"/>
      <c r="AK52" s="30"/>
      <c r="AL52"/>
      <c r="AM52"/>
      <c r="AN52" s="30"/>
      <c r="AO52" s="30"/>
      <c r="AP52" s="30"/>
    </row>
    <row r="53" spans="26:42" x14ac:dyDescent="0.2">
      <c r="Z53" s="29"/>
      <c r="AA53" s="29"/>
      <c r="AB53" s="29"/>
      <c r="AC53" s="30"/>
      <c r="AD53" s="30"/>
      <c r="AE53" s="30"/>
      <c r="AF53" s="30"/>
      <c r="AG53" s="30"/>
      <c r="AH53" s="30"/>
      <c r="AI53" s="30"/>
      <c r="AJ53" s="30"/>
      <c r="AK53" s="30"/>
      <c r="AL53"/>
      <c r="AM53"/>
      <c r="AN53" s="30"/>
      <c r="AO53" s="30"/>
      <c r="AP53" s="30"/>
    </row>
    <row r="54" spans="26:42" x14ac:dyDescent="0.2">
      <c r="Z54" s="29"/>
      <c r="AA54" s="29"/>
      <c r="AB54" s="29"/>
      <c r="AC54" s="30"/>
      <c r="AD54" s="30"/>
      <c r="AE54" s="30"/>
      <c r="AF54" s="30"/>
      <c r="AG54" s="30"/>
      <c r="AH54" s="30"/>
      <c r="AI54" s="30"/>
      <c r="AJ54" s="30"/>
      <c r="AK54" s="30"/>
      <c r="AL54" s="31"/>
      <c r="AM54" s="31"/>
      <c r="AN54" s="30"/>
      <c r="AO54" s="30"/>
      <c r="AP54" s="30"/>
    </row>
    <row r="55" spans="26:42" x14ac:dyDescent="0.2">
      <c r="Z55" s="29"/>
      <c r="AA55" s="29"/>
      <c r="AB55" s="29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</row>
    <row r="56" spans="26:42" x14ac:dyDescent="0.2">
      <c r="Z56" s="29"/>
      <c r="AA56" s="29"/>
      <c r="AB56" s="29"/>
      <c r="AC56" s="30"/>
      <c r="AD56" s="30"/>
      <c r="AE56" s="30"/>
      <c r="AF56" s="30"/>
      <c r="AG56" s="30"/>
      <c r="AH56" s="30"/>
      <c r="AI56" s="30"/>
      <c r="AJ56" s="30"/>
      <c r="AK56" s="30"/>
      <c r="AL56" s="32"/>
      <c r="AM56" s="32"/>
      <c r="AN56" s="30"/>
      <c r="AO56" s="30"/>
      <c r="AP56" s="30"/>
    </row>
    <row r="57" spans="26:42" x14ac:dyDescent="0.2">
      <c r="Z57" s="29"/>
      <c r="AA57" s="29"/>
      <c r="AB57" s="29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</row>
    <row r="58" spans="26:42" x14ac:dyDescent="0.2">
      <c r="Z58" s="29"/>
      <c r="AA58" s="29"/>
      <c r="AB58" s="29"/>
      <c r="AC58" s="30"/>
      <c r="AD58" s="30"/>
      <c r="AE58" s="30"/>
      <c r="AF58" s="30"/>
      <c r="AG58" s="30"/>
      <c r="AH58" s="30"/>
      <c r="AI58" s="30"/>
      <c r="AJ58" s="30"/>
      <c r="AK58" s="30"/>
      <c r="AL58"/>
      <c r="AM58"/>
      <c r="AN58" s="30"/>
      <c r="AO58" s="30"/>
      <c r="AP58" s="30"/>
    </row>
    <row r="59" spans="26:42" x14ac:dyDescent="0.2">
      <c r="Z59" s="29"/>
      <c r="AA59" s="29"/>
      <c r="AB59" s="29"/>
      <c r="AC59" s="30"/>
      <c r="AD59" s="30"/>
      <c r="AE59" s="30"/>
      <c r="AF59" s="30"/>
      <c r="AG59" s="30"/>
      <c r="AH59" s="30"/>
      <c r="AI59" s="30"/>
      <c r="AJ59" s="30"/>
      <c r="AK59" s="30"/>
      <c r="AL59"/>
      <c r="AM59"/>
      <c r="AN59" s="30"/>
      <c r="AO59" s="30"/>
      <c r="AP59" s="30"/>
    </row>
    <row r="60" spans="26:42" x14ac:dyDescent="0.2">
      <c r="Z60" s="29"/>
      <c r="AA60" s="29"/>
      <c r="AB60" s="29"/>
      <c r="AC60" s="30"/>
      <c r="AD60" s="30"/>
      <c r="AE60" s="30"/>
      <c r="AF60" s="30"/>
      <c r="AG60" s="30"/>
      <c r="AH60" s="30"/>
      <c r="AI60" s="30"/>
      <c r="AJ60" s="30"/>
      <c r="AK60" s="30"/>
      <c r="AL60" s="31"/>
      <c r="AM60" s="31"/>
      <c r="AN60" s="30"/>
      <c r="AO60" s="30"/>
      <c r="AP60" s="30"/>
    </row>
    <row r="61" spans="26:42" x14ac:dyDescent="0.2">
      <c r="Z61" s="29"/>
      <c r="AA61" s="29"/>
      <c r="AB61" s="29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</row>
    <row r="62" spans="26:42" x14ac:dyDescent="0.2">
      <c r="Z62" s="29"/>
      <c r="AA62" s="29"/>
      <c r="AB62" s="29"/>
      <c r="AC62" s="30"/>
      <c r="AD62" s="30"/>
      <c r="AE62" s="30"/>
      <c r="AF62" s="30"/>
      <c r="AG62" s="30"/>
      <c r="AH62" s="30"/>
      <c r="AI62" s="30"/>
      <c r="AJ62" s="30"/>
      <c r="AK62" s="30"/>
      <c r="AL62" s="32"/>
      <c r="AM62" s="32"/>
      <c r="AN62" s="30"/>
      <c r="AO62" s="30"/>
      <c r="AP62" s="30"/>
    </row>
    <row r="63" spans="26:42" x14ac:dyDescent="0.2">
      <c r="Z63" s="29"/>
      <c r="AA63" s="29"/>
      <c r="AB63" s="29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</row>
    <row r="64" spans="26:42" x14ac:dyDescent="0.2">
      <c r="Z64" s="29"/>
      <c r="AA64" s="29"/>
      <c r="AB64" s="29"/>
      <c r="AC64" s="30"/>
      <c r="AD64" s="30"/>
      <c r="AE64" s="30"/>
      <c r="AF64" s="30"/>
      <c r="AG64" s="30"/>
      <c r="AH64" s="30"/>
      <c r="AI64" s="30"/>
      <c r="AJ64" s="30"/>
      <c r="AK64" s="30"/>
      <c r="AL64"/>
      <c r="AM64"/>
      <c r="AN64" s="30"/>
      <c r="AO64" s="30"/>
      <c r="AP64" s="30"/>
    </row>
    <row r="65" spans="1:44" x14ac:dyDescent="0.2">
      <c r="Z65" s="29"/>
      <c r="AA65" s="29"/>
      <c r="AB65" s="29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</row>
    <row r="66" spans="1:44" x14ac:dyDescent="0.2">
      <c r="Z66" s="29"/>
      <c r="AA66" s="29"/>
      <c r="AB66" s="29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</row>
    <row r="67" spans="1:44" x14ac:dyDescent="0.2">
      <c r="Z67" s="29"/>
      <c r="AA67" s="29"/>
      <c r="AB67" s="29"/>
      <c r="AC67" s="30"/>
      <c r="AD67" s="30"/>
      <c r="AE67" s="30"/>
      <c r="AF67" s="30"/>
      <c r="AG67" s="30"/>
      <c r="AH67" s="30"/>
      <c r="AI67" s="30"/>
      <c r="AJ67" s="30"/>
      <c r="AK67" s="30"/>
      <c r="AL67"/>
      <c r="AM67"/>
      <c r="AN67" s="30"/>
      <c r="AO67" s="30"/>
      <c r="AP67" s="30"/>
    </row>
    <row r="68" spans="1:44" x14ac:dyDescent="0.2">
      <c r="Z68" s="29"/>
      <c r="AA68" s="29"/>
      <c r="AB68" s="29"/>
      <c r="AC68" s="30"/>
      <c r="AD68" s="30"/>
      <c r="AE68" s="30"/>
      <c r="AF68" s="30"/>
      <c r="AG68" s="30"/>
      <c r="AH68" s="30"/>
      <c r="AI68" s="30"/>
      <c r="AJ68" s="30"/>
      <c r="AK68" s="30"/>
      <c r="AL68" s="31"/>
      <c r="AM68" s="31"/>
      <c r="AN68" s="30"/>
      <c r="AO68" s="30"/>
      <c r="AP68" s="30"/>
    </row>
    <row r="69" spans="1:44" x14ac:dyDescent="0.2">
      <c r="Z69" s="29"/>
      <c r="AA69" s="29"/>
      <c r="AB69" s="29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</row>
    <row r="70" spans="1:44" x14ac:dyDescent="0.2">
      <c r="Z70" s="29"/>
      <c r="AA70" s="29"/>
      <c r="AB70" s="29"/>
      <c r="AC70" s="30"/>
      <c r="AD70" s="30"/>
      <c r="AE70" s="30"/>
      <c r="AF70" s="30"/>
      <c r="AG70" s="30"/>
      <c r="AH70" s="30"/>
      <c r="AI70" s="30"/>
      <c r="AJ70" s="30"/>
      <c r="AK70" s="30"/>
      <c r="AL70" s="32"/>
      <c r="AM70" s="32"/>
      <c r="AN70" s="30"/>
      <c r="AO70" s="30"/>
      <c r="AP70" s="30"/>
    </row>
    <row r="71" spans="1:44" x14ac:dyDescent="0.2">
      <c r="Z71" s="29"/>
      <c r="AA71" s="29"/>
      <c r="AB71" s="29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</row>
    <row r="72" spans="1:44" x14ac:dyDescent="0.2">
      <c r="Z72" s="29"/>
      <c r="AA72" s="29"/>
      <c r="AB72" s="29"/>
      <c r="AC72" s="30"/>
      <c r="AD72" s="30"/>
      <c r="AE72" s="30"/>
      <c r="AF72" s="30"/>
      <c r="AG72" s="30"/>
      <c r="AH72" s="30"/>
      <c r="AI72" s="30"/>
      <c r="AJ72" s="30"/>
      <c r="AK72" s="30"/>
      <c r="AL72"/>
      <c r="AM72"/>
      <c r="AN72" s="30"/>
      <c r="AO72" s="30"/>
      <c r="AP72" s="30"/>
    </row>
    <row r="73" spans="1:44" ht="12.75" customHeight="1" x14ac:dyDescent="0.2">
      <c r="AL73"/>
      <c r="AM73"/>
    </row>
    <row r="74" spans="1:44" s="46" customFormat="1" ht="15.9" customHeight="1" x14ac:dyDescent="0.2">
      <c r="B74" s="45"/>
      <c r="C74" s="45"/>
      <c r="D74" s="44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4"/>
      <c r="S74" s="45"/>
      <c r="T74" s="45"/>
      <c r="U74" s="45"/>
      <c r="V74" s="45"/>
      <c r="W74" s="45"/>
      <c r="X74" s="45"/>
      <c r="Y74" s="45"/>
      <c r="Z74" s="45"/>
      <c r="AA74" s="44"/>
      <c r="AB74" s="45"/>
      <c r="AC74" s="45"/>
      <c r="AD74" s="45"/>
      <c r="AE74" s="45"/>
      <c r="AF74" s="45"/>
      <c r="AG74" s="45"/>
      <c r="AH74" s="45"/>
      <c r="AI74" s="45"/>
      <c r="AJ74" s="49"/>
      <c r="AM74" s="45"/>
      <c r="AN74" s="49"/>
      <c r="AO74" s="45"/>
      <c r="AP74" s="45"/>
      <c r="AQ74" s="45"/>
      <c r="AR74" s="45"/>
    </row>
    <row r="75" spans="1:44" x14ac:dyDescent="0.2">
      <c r="A75" s="50">
        <f>集計表!C7</f>
        <v>46174</v>
      </c>
      <c r="B75" s="63" t="str">
        <f>集計表!D7</f>
        <v>6/1</v>
      </c>
      <c r="C75" s="52" t="str">
        <f>集計表!E7</f>
        <v>2</v>
      </c>
      <c r="D75" s="52" t="str">
        <f>集計表!F7</f>
        <v>4</v>
      </c>
      <c r="E75" s="52" t="str">
        <f>集計表!G7</f>
        <v>5</v>
      </c>
      <c r="F75" s="52" t="str">
        <f>集計表!H7</f>
        <v>6</v>
      </c>
      <c r="G75" s="52" t="str">
        <f>集計表!I7</f>
        <v>8</v>
      </c>
      <c r="H75" s="52" t="str">
        <f>集計表!J7</f>
        <v>9</v>
      </c>
      <c r="I75" s="52" t="str">
        <f>集計表!K7</f>
        <v>11</v>
      </c>
      <c r="J75" s="52" t="str">
        <f>集計表!L7</f>
        <v>12</v>
      </c>
      <c r="K75" s="52" t="str">
        <f>集計表!M7</f>
        <v>13</v>
      </c>
      <c r="L75" s="52" t="str">
        <f>集計表!N7</f>
        <v>15</v>
      </c>
      <c r="M75" s="52" t="str">
        <f>集計表!O7</f>
        <v>16</v>
      </c>
      <c r="N75" s="52" t="str">
        <f>集計表!P7</f>
        <v>18</v>
      </c>
      <c r="O75" s="52" t="str">
        <f>集計表!Q7</f>
        <v>19</v>
      </c>
      <c r="P75" s="52" t="str">
        <f>集計表!R7</f>
        <v>20</v>
      </c>
      <c r="Q75" s="52" t="str">
        <f>集計表!S7</f>
        <v>22</v>
      </c>
      <c r="R75" s="52" t="str">
        <f>集計表!T7</f>
        <v>23</v>
      </c>
      <c r="S75" s="52" t="str">
        <f>集計表!U7</f>
        <v>25</v>
      </c>
      <c r="T75" s="52" t="str">
        <f>集計表!V7</f>
        <v>26</v>
      </c>
      <c r="U75" s="52" t="str">
        <f>集計表!W7</f>
        <v>27</v>
      </c>
      <c r="V75" s="52" t="str">
        <f>集計表!X7</f>
        <v>29</v>
      </c>
      <c r="W75" s="52" t="str">
        <f>集計表!Y7</f>
        <v>30</v>
      </c>
      <c r="X75" s="52" t="str">
        <f>集計表!Z7</f>
        <v>7/2</v>
      </c>
      <c r="Y75" s="52" t="str">
        <f>集計表!AA7</f>
        <v>3</v>
      </c>
      <c r="Z75" s="52" t="str">
        <f>集計表!AB7</f>
        <v>4</v>
      </c>
      <c r="AA75" s="52" t="str">
        <f>集計表!AC7</f>
        <v>6</v>
      </c>
      <c r="AB75" s="52" t="str">
        <f>集計表!AD7</f>
        <v>7</v>
      </c>
      <c r="AC75" s="52" t="str">
        <f>集計表!AE7</f>
        <v>9</v>
      </c>
      <c r="AD75" s="52" t="str">
        <f>集計表!AF7</f>
        <v>10</v>
      </c>
      <c r="AE75" s="52" t="str">
        <f>集計表!AG7</f>
        <v>11</v>
      </c>
      <c r="AF75" s="52" t="str">
        <f>集計表!AH7</f>
        <v>13</v>
      </c>
      <c r="AG75" s="52" t="str">
        <f>集計表!AI7</f>
        <v>14</v>
      </c>
      <c r="AH75" s="52" t="str">
        <f>集計表!AJ7</f>
        <v>16</v>
      </c>
      <c r="AI75" s="52" t="str">
        <f>集計表!AK7</f>
        <v>17</v>
      </c>
      <c r="AJ75" s="52" t="str">
        <f>集計表!AL7</f>
        <v>18</v>
      </c>
      <c r="AK75" s="52" t="str">
        <f>集計表!AM7</f>
        <v>21</v>
      </c>
      <c r="AL75" s="52" t="str">
        <f>集計表!AN7</f>
        <v>23</v>
      </c>
      <c r="AM75" s="52" t="str">
        <f>集計表!AO7</f>
        <v>24</v>
      </c>
      <c r="AN75" s="52" t="str">
        <f>集計表!AP7</f>
        <v>25</v>
      </c>
      <c r="AO75" s="52" t="str">
        <f>集計表!AQ7</f>
        <v>27</v>
      </c>
      <c r="AP75" s="52" t="str">
        <f>集計表!AR7</f>
        <v>28</v>
      </c>
      <c r="AQ75" s="52" t="str">
        <f>集計表!AS7</f>
        <v>30</v>
      </c>
      <c r="AR75" s="52" t="str">
        <f>集計表!AT7</f>
        <v>31</v>
      </c>
    </row>
    <row r="76" spans="1:44" s="48" customFormat="1" x14ac:dyDescent="0.2">
      <c r="A76" s="54" t="s">
        <v>0</v>
      </c>
      <c r="B76" s="34">
        <f>IF(集計表!D9="","",集計表!D9)</f>
        <v>76.070999999999998</v>
      </c>
      <c r="C76" s="34">
        <f>IF(集計表!E9="","",集計表!E9)</f>
        <v>53.302999999999997</v>
      </c>
      <c r="D76" s="34">
        <f>IF(集計表!F9="","",集計表!F9)</f>
        <v>36.195999999999998</v>
      </c>
      <c r="E76" s="34">
        <f>IF(集計表!G9="","",集計表!G9)</f>
        <v>55.908999999999999</v>
      </c>
      <c r="F76" s="34">
        <f>IF(集計表!H9="","",集計表!H9)</f>
        <v>69.414000000000001</v>
      </c>
      <c r="G76" s="34">
        <f>IF(集計表!I9="","",集計表!I9)</f>
        <v>64.429000000000002</v>
      </c>
      <c r="H76" s="34">
        <f>IF(集計表!J9="","",集計表!J9)</f>
        <v>48.494</v>
      </c>
      <c r="I76" s="34">
        <f>IF(集計表!K9="","",集計表!K9)</f>
        <v>51.405000000000001</v>
      </c>
      <c r="J76" s="34">
        <f>IF(集計表!L9="","",集計表!L9)</f>
        <v>61.100999999999999</v>
      </c>
      <c r="K76" s="34">
        <f>IF(集計表!M9="","",集計表!M9)</f>
        <v>77.545000000000002</v>
      </c>
      <c r="L76" s="34">
        <f>IF(集計表!N9="","",集計表!N9)</f>
        <v>54.610999999999997</v>
      </c>
      <c r="M76" s="34">
        <f>IF(集計表!O9="","",集計表!O9)</f>
        <v>46.100999999999999</v>
      </c>
      <c r="N76" s="34">
        <f>IF(集計表!P9="","",集計表!P9)</f>
        <v>61.088000000000001</v>
      </c>
      <c r="O76" s="34">
        <f>IF(集計表!Q9="","",集計表!Q9)</f>
        <v>68.787000000000006</v>
      </c>
      <c r="P76" s="34">
        <f>IF(集計表!R9="","",集計表!R9)</f>
        <v>47.113999999999997</v>
      </c>
      <c r="Q76" s="34">
        <f>IF(集計表!S9="","",集計表!S9)</f>
        <v>80.180000000000007</v>
      </c>
      <c r="R76" s="34">
        <f>IF(集計表!T9="","",集計表!T9)</f>
        <v>50.238999999999997</v>
      </c>
      <c r="S76" s="34">
        <f>IF(集計表!U9="","",集計表!U9)</f>
        <v>33.942999999999998</v>
      </c>
      <c r="T76" s="34">
        <f>IF(集計表!V9="","",集計表!V9)</f>
        <v>71.227000000000004</v>
      </c>
      <c r="U76" s="34">
        <f>IF(集計表!W9="","",集計表!W9)</f>
        <v>42.177</v>
      </c>
      <c r="V76" s="34">
        <f>IF(集計表!X9="","",集計表!X9)</f>
        <v>100.815</v>
      </c>
      <c r="W76" s="34">
        <f>IF(集計表!Y9="","",集計表!Y9)</f>
        <v>74.498000000000005</v>
      </c>
      <c r="X76" s="34">
        <f>IF(集計表!Z9="","",集計表!Z9)</f>
        <v>56.648000000000003</v>
      </c>
      <c r="Y76" s="34">
        <f>IF(集計表!AA9="","",集計表!AA9)</f>
        <v>67.275000000000006</v>
      </c>
      <c r="Z76" s="34">
        <f>IF(集計表!AB9="","",集計表!AB9)</f>
        <v>62.274999999999999</v>
      </c>
      <c r="AA76" s="34">
        <f>IF(集計表!AC9="","",集計表!AC9)</f>
        <v>68.959000000000003</v>
      </c>
      <c r="AB76" s="34">
        <f>IF(集計表!AD9="","",集計表!AD9)</f>
        <v>71.048000000000002</v>
      </c>
      <c r="AC76" s="34" t="str">
        <f>IF(集計表!AE9="","",集計表!AE9)</f>
        <v/>
      </c>
      <c r="AD76" s="34" t="str">
        <f>IF(集計表!AF9="","",集計表!AF9)</f>
        <v/>
      </c>
      <c r="AE76" s="34" t="str">
        <f>IF(集計表!AG9="","",集計表!AG9)</f>
        <v/>
      </c>
      <c r="AF76" s="34" t="str">
        <f>IF(集計表!AH9="","",集計表!AH9)</f>
        <v/>
      </c>
      <c r="AG76" s="34" t="str">
        <f>IF(集計表!AI9="","",集計表!AI9)</f>
        <v/>
      </c>
      <c r="AH76" s="34" t="str">
        <f>IF(集計表!AJ9="","",集計表!AJ9)</f>
        <v/>
      </c>
      <c r="AI76" s="34" t="str">
        <f>IF(集計表!AK9="","",集計表!AK9)</f>
        <v/>
      </c>
      <c r="AJ76" s="34" t="str">
        <f>IF(集計表!AL9="","",集計表!AL9)</f>
        <v/>
      </c>
      <c r="AK76" s="34" t="str">
        <f>IF(集計表!AM9="","",集計表!AM9)</f>
        <v/>
      </c>
      <c r="AL76" s="34" t="str">
        <f>IF(集計表!AN9="","",集計表!AN9)</f>
        <v/>
      </c>
      <c r="AM76" s="34" t="str">
        <f>IF(集計表!AO9="","",集計表!AO9)</f>
        <v/>
      </c>
      <c r="AN76" s="34" t="str">
        <f>IF(集計表!AP9="","",集計表!AP9)</f>
        <v/>
      </c>
      <c r="AO76" s="34" t="str">
        <f>IF(集計表!AQ9="","",集計表!AQ9)</f>
        <v/>
      </c>
      <c r="AP76" s="34" t="str">
        <f>IF(集計表!AR9="","",集計表!AR9)</f>
        <v/>
      </c>
      <c r="AQ76" s="34" t="str">
        <f>IF(集計表!AS9="","",集計表!AS9)</f>
        <v/>
      </c>
      <c r="AR76" s="34" t="str">
        <f>IF(集計表!AT9="","",集計表!AT9)</f>
        <v/>
      </c>
    </row>
    <row r="77" spans="1:44" s="48" customFormat="1" x14ac:dyDescent="0.2">
      <c r="A77" s="54" t="s">
        <v>1</v>
      </c>
      <c r="B77" s="34">
        <f>IF(集計表!D10=0,NA(),集計表!D10)</f>
        <v>106</v>
      </c>
      <c r="C77" s="34">
        <f>IF(集計表!E10=0,NA(),集計表!E10)</f>
        <v>111</v>
      </c>
      <c r="D77" s="34">
        <f>IF(集計表!F10=0,NA(),集計表!F10)</f>
        <v>115</v>
      </c>
      <c r="E77" s="34">
        <f>IF(集計表!G10=0,NA(),集計表!G10)</f>
        <v>103</v>
      </c>
      <c r="F77" s="34">
        <f>IF(集計表!H10=0,NA(),集計表!H10)</f>
        <v>109</v>
      </c>
      <c r="G77" s="34">
        <f>IF(集計表!I10=0,NA(),集計表!I10)</f>
        <v>114</v>
      </c>
      <c r="H77" s="34">
        <f>IF(集計表!J10=0,NA(),集計表!J10)</f>
        <v>109</v>
      </c>
      <c r="I77" s="34">
        <f>IF(集計表!K10=0,NA(),集計表!K10)</f>
        <v>110</v>
      </c>
      <c r="J77" s="34">
        <f>IF(集計表!L10=0,NA(),集計表!L10)</f>
        <v>113</v>
      </c>
      <c r="K77" s="34">
        <f>IF(集計表!M10=0,NA(),集計表!M10)</f>
        <v>119</v>
      </c>
      <c r="L77" s="34">
        <f>IF(集計表!N10=0,NA(),集計表!N10)</f>
        <v>123</v>
      </c>
      <c r="M77" s="34">
        <f>IF(集計表!O10=0,NA(),集計表!O10)</f>
        <v>131</v>
      </c>
      <c r="N77" s="34">
        <f>IF(集計表!P10=0,NA(),集計表!P10)</f>
        <v>123</v>
      </c>
      <c r="O77" s="34">
        <f>IF(集計表!Q10=0,NA(),集計表!Q10)</f>
        <v>115</v>
      </c>
      <c r="P77" s="34">
        <f>IF(集計表!R10=0,NA(),集計表!R10)</f>
        <v>127</v>
      </c>
      <c r="Q77" s="34">
        <f>IF(集計表!S10=0,NA(),集計表!S10)</f>
        <v>124</v>
      </c>
      <c r="R77" s="34">
        <f>IF(集計表!T10=0,NA(),集計表!T10)</f>
        <v>132</v>
      </c>
      <c r="S77" s="34">
        <f>IF(集計表!U10=0,NA(),集計表!U10)</f>
        <v>144</v>
      </c>
      <c r="T77" s="34">
        <f>IF(集計表!V10=0,NA(),集計表!V10)</f>
        <v>137</v>
      </c>
      <c r="U77" s="34">
        <f>IF(集計表!W10=0,NA(),集計表!W10)</f>
        <v>147</v>
      </c>
      <c r="V77" s="34">
        <f>IF(集計表!X10=0,NA(),集計表!X10)</f>
        <v>134</v>
      </c>
      <c r="W77" s="34">
        <f>IF(集計表!Y10=0,NA(),集計表!Y10)</f>
        <v>138</v>
      </c>
      <c r="X77" s="34">
        <f>IF(集計表!Z10=0,NA(),集計表!Z10)</f>
        <v>155</v>
      </c>
      <c r="Y77" s="34">
        <f>IF(集計表!AA10=0,NA(),集計表!AA10)</f>
        <v>139</v>
      </c>
      <c r="Z77" s="34">
        <f>IF(集計表!AB10=0,NA(),集計表!AB10)</f>
        <v>149</v>
      </c>
      <c r="AA77" s="34">
        <f>IF(集計表!AC10=0,NA(),集計表!AC10)</f>
        <v>154</v>
      </c>
      <c r="AB77" s="34">
        <f>IF(集計表!AD10=0,NA(),集計表!AD10)</f>
        <v>151</v>
      </c>
      <c r="AC77" s="34" t="e">
        <f>IF(集計表!AE10=0,NA(),集計表!AE10)</f>
        <v>#N/A</v>
      </c>
      <c r="AD77" s="34" t="e">
        <f>IF(集計表!AF10=0,NA(),集計表!AF10)</f>
        <v>#N/A</v>
      </c>
      <c r="AE77" s="34" t="e">
        <f>IF(集計表!AG10=0,NA(),集計表!AG10)</f>
        <v>#N/A</v>
      </c>
      <c r="AF77" s="34" t="e">
        <f>IF(集計表!AH10=0,NA(),集計表!AH10)</f>
        <v>#N/A</v>
      </c>
      <c r="AG77" s="34" t="e">
        <f>IF(集計表!AI10=0,NA(),集計表!AI10)</f>
        <v>#N/A</v>
      </c>
      <c r="AH77" s="34" t="e">
        <f>IF(集計表!AJ10=0,NA(),集計表!AJ10)</f>
        <v>#N/A</v>
      </c>
      <c r="AI77" s="34" t="e">
        <f>IF(集計表!AK10=0,NA(),集計表!AK10)</f>
        <v>#N/A</v>
      </c>
      <c r="AJ77" s="34" t="e">
        <f>IF(集計表!AL10=0,NA(),集計表!AL10)</f>
        <v>#N/A</v>
      </c>
      <c r="AK77" s="34" t="e">
        <f>IF(集計表!AM10=0,NA(),集計表!AM10)</f>
        <v>#N/A</v>
      </c>
      <c r="AL77" s="34" t="e">
        <f>IF(集計表!AN10=0,NA(),集計表!AN10)</f>
        <v>#N/A</v>
      </c>
      <c r="AM77" s="34" t="e">
        <f>IF(集計表!AO10=0,NA(),集計表!AO10)</f>
        <v>#N/A</v>
      </c>
      <c r="AN77" s="34" t="e">
        <f>IF(集計表!AP10=0,NA(),集計表!AP10)</f>
        <v>#N/A</v>
      </c>
      <c r="AO77" s="34" t="e">
        <f>IF(集計表!AQ10=0,NA(),集計表!AQ10)</f>
        <v>#N/A</v>
      </c>
      <c r="AP77" s="34" t="e">
        <f>IF(集計表!AR10=0,NA(),集計表!AR10)</f>
        <v>#N/A</v>
      </c>
      <c r="AQ77" s="34" t="e">
        <f>IF(集計表!AS10=0,NA(),集計表!AS10)</f>
        <v>#N/A</v>
      </c>
      <c r="AR77" s="34" t="e">
        <f>IF(集計表!AT10=0,NA(),集計表!AT10)</f>
        <v>#N/A</v>
      </c>
    </row>
    <row r="78" spans="1:44" s="48" customFormat="1" x14ac:dyDescent="0.2">
      <c r="A78" s="54" t="s">
        <v>2</v>
      </c>
      <c r="B78" s="34">
        <f>集計表!D11</f>
        <v>111</v>
      </c>
      <c r="C78" s="34">
        <f>集計表!E11</f>
        <v>111</v>
      </c>
      <c r="D78" s="34">
        <f>集計表!F11</f>
        <v>111</v>
      </c>
      <c r="E78" s="34">
        <f>集計表!G11</f>
        <v>111</v>
      </c>
      <c r="F78" s="34">
        <f>集計表!H11</f>
        <v>111</v>
      </c>
      <c r="G78" s="34">
        <f>集計表!I11</f>
        <v>111</v>
      </c>
      <c r="H78" s="34">
        <f>集計表!J11</f>
        <v>111</v>
      </c>
      <c r="I78" s="34">
        <f>集計表!K11</f>
        <v>116</v>
      </c>
      <c r="J78" s="34">
        <f>集計表!L11</f>
        <v>116</v>
      </c>
      <c r="K78" s="34">
        <f>集計表!M11</f>
        <v>116</v>
      </c>
      <c r="L78" s="34">
        <f>集計表!N11</f>
        <v>116</v>
      </c>
      <c r="M78" s="34">
        <f>集計表!O11</f>
        <v>116</v>
      </c>
      <c r="N78" s="34">
        <f>集計表!P11</f>
        <v>116</v>
      </c>
      <c r="O78" s="34">
        <f>集計表!Q11</f>
        <v>116</v>
      </c>
      <c r="P78" s="34">
        <f>集計表!R11</f>
        <v>116</v>
      </c>
      <c r="Q78" s="34">
        <f>集計表!S11</f>
        <v>104</v>
      </c>
      <c r="R78" s="34">
        <f>集計表!T11</f>
        <v>104</v>
      </c>
      <c r="S78" s="34">
        <f>集計表!U11</f>
        <v>104</v>
      </c>
      <c r="T78" s="34">
        <f>集計表!V11</f>
        <v>104</v>
      </c>
      <c r="U78" s="34">
        <f>集計表!W11</f>
        <v>104</v>
      </c>
      <c r="V78" s="34">
        <f>集計表!X11</f>
        <v>104</v>
      </c>
      <c r="W78" s="34">
        <f>集計表!Y11</f>
        <v>104</v>
      </c>
      <c r="X78" s="34">
        <f>集計表!Z11</f>
        <v>112</v>
      </c>
      <c r="Y78" s="34">
        <f>集計表!AA11</f>
        <v>112</v>
      </c>
      <c r="Z78" s="34">
        <f>集計表!AB11</f>
        <v>112</v>
      </c>
      <c r="AA78" s="34">
        <f>集計表!AC11</f>
        <v>112</v>
      </c>
      <c r="AB78" s="34">
        <f>集計表!AD11</f>
        <v>112</v>
      </c>
      <c r="AC78" s="34">
        <f>集計表!AE11</f>
        <v>112</v>
      </c>
      <c r="AD78" s="34">
        <f>集計表!AF11</f>
        <v>112</v>
      </c>
      <c r="AE78" s="34">
        <f>集計表!AG11</f>
        <v>106</v>
      </c>
      <c r="AF78" s="34">
        <f>集計表!AH11</f>
        <v>106</v>
      </c>
      <c r="AG78" s="34">
        <f>集計表!AI11</f>
        <v>106</v>
      </c>
      <c r="AH78" s="34">
        <f>集計表!AJ11</f>
        <v>106</v>
      </c>
      <c r="AI78" s="34">
        <f>集計表!AK11</f>
        <v>106</v>
      </c>
      <c r="AJ78" s="34">
        <f>集計表!AL11</f>
        <v>106</v>
      </c>
      <c r="AK78" s="34">
        <f>集計表!AM11</f>
        <v>109</v>
      </c>
      <c r="AL78" s="34">
        <f>集計表!AN11</f>
        <v>109</v>
      </c>
      <c r="AM78" s="34">
        <f>集計表!AO11</f>
        <v>109</v>
      </c>
      <c r="AN78" s="34">
        <f>集計表!AP11</f>
        <v>109</v>
      </c>
      <c r="AO78" s="34">
        <f>集計表!AQ11</f>
        <v>109</v>
      </c>
      <c r="AP78" s="34">
        <f>集計表!AR11</f>
        <v>109</v>
      </c>
      <c r="AQ78" s="34">
        <f>集計表!AS11</f>
        <v>109</v>
      </c>
      <c r="AR78" s="34">
        <f>集計表!AT11</f>
        <v>109</v>
      </c>
    </row>
    <row r="79" spans="1:44" ht="13.5" customHeight="1" x14ac:dyDescent="0.2">
      <c r="A79" s="55" t="s">
        <v>20</v>
      </c>
      <c r="B79" s="56">
        <f>IFERROR(B77/B78, "")</f>
        <v>0.95495495495495497</v>
      </c>
      <c r="C79" s="56">
        <f t="shared" ref="C79:AM79" si="4">IFERROR(C77/C78, "")</f>
        <v>1</v>
      </c>
      <c r="D79" s="56">
        <f t="shared" si="4"/>
        <v>1.0360360360360361</v>
      </c>
      <c r="E79" s="56">
        <f t="shared" si="4"/>
        <v>0.92792792792792789</v>
      </c>
      <c r="F79" s="56">
        <f t="shared" si="4"/>
        <v>0.98198198198198194</v>
      </c>
      <c r="G79" s="56">
        <f t="shared" si="4"/>
        <v>1.027027027027027</v>
      </c>
      <c r="H79" s="56">
        <f t="shared" si="4"/>
        <v>0.98198198198198194</v>
      </c>
      <c r="I79" s="56">
        <f t="shared" si="4"/>
        <v>0.94827586206896552</v>
      </c>
      <c r="J79" s="56">
        <f t="shared" si="4"/>
        <v>0.97413793103448276</v>
      </c>
      <c r="K79" s="56">
        <f t="shared" si="4"/>
        <v>1.0258620689655173</v>
      </c>
      <c r="L79" s="56">
        <f t="shared" si="4"/>
        <v>1.0603448275862069</v>
      </c>
      <c r="M79" s="56">
        <f t="shared" si="4"/>
        <v>1.1293103448275863</v>
      </c>
      <c r="N79" s="56">
        <f t="shared" si="4"/>
        <v>1.0603448275862069</v>
      </c>
      <c r="O79" s="56">
        <f t="shared" si="4"/>
        <v>0.99137931034482762</v>
      </c>
      <c r="P79" s="57">
        <f t="shared" si="4"/>
        <v>1.0948275862068966</v>
      </c>
      <c r="Q79" s="57">
        <f t="shared" si="4"/>
        <v>1.1923076923076923</v>
      </c>
      <c r="R79" s="57">
        <f t="shared" si="4"/>
        <v>1.2692307692307692</v>
      </c>
      <c r="S79" s="56">
        <f t="shared" si="4"/>
        <v>1.3846153846153846</v>
      </c>
      <c r="T79" s="56">
        <f t="shared" si="4"/>
        <v>1.3173076923076923</v>
      </c>
      <c r="U79" s="56">
        <f t="shared" si="4"/>
        <v>1.4134615384615385</v>
      </c>
      <c r="V79" s="56">
        <f t="shared" si="4"/>
        <v>1.2884615384615385</v>
      </c>
      <c r="W79" s="56">
        <f t="shared" si="4"/>
        <v>1.3269230769230769</v>
      </c>
      <c r="X79" s="56">
        <f t="shared" si="4"/>
        <v>1.3839285714285714</v>
      </c>
      <c r="Y79" s="57">
        <f t="shared" si="4"/>
        <v>1.2410714285714286</v>
      </c>
      <c r="Z79" s="56">
        <f t="shared" si="4"/>
        <v>1.3303571428571428</v>
      </c>
      <c r="AA79" s="56">
        <f t="shared" si="4"/>
        <v>1.375</v>
      </c>
      <c r="AB79" s="57">
        <f t="shared" si="4"/>
        <v>1.3482142857142858</v>
      </c>
      <c r="AC79" s="56" t="str">
        <f t="shared" si="4"/>
        <v/>
      </c>
      <c r="AD79" s="56" t="str">
        <f t="shared" si="4"/>
        <v/>
      </c>
      <c r="AE79" s="56" t="str">
        <f t="shared" si="4"/>
        <v/>
      </c>
      <c r="AF79" s="56" t="str">
        <f t="shared" si="4"/>
        <v/>
      </c>
      <c r="AG79" s="56" t="str">
        <f t="shared" si="4"/>
        <v/>
      </c>
      <c r="AH79" s="56" t="str">
        <f t="shared" si="4"/>
        <v/>
      </c>
      <c r="AI79" s="56" t="str">
        <f t="shared" si="4"/>
        <v/>
      </c>
      <c r="AJ79" s="57" t="str">
        <f t="shared" si="4"/>
        <v/>
      </c>
      <c r="AK79" s="57" t="str">
        <f t="shared" si="4"/>
        <v/>
      </c>
      <c r="AL79" s="57" t="str">
        <f t="shared" si="4"/>
        <v/>
      </c>
      <c r="AM79" s="56" t="str">
        <f t="shared" si="4"/>
        <v/>
      </c>
      <c r="AN79" s="57" t="str">
        <f t="shared" ref="AN79:AO79" si="5">IFERROR(AN77/AN78, "")</f>
        <v/>
      </c>
      <c r="AO79" s="56" t="str">
        <f t="shared" si="5"/>
        <v/>
      </c>
      <c r="AP79" s="56" t="str">
        <f t="shared" ref="AP79:AQ79" si="6">IFERROR(AP77/AP78, "")</f>
        <v/>
      </c>
      <c r="AQ79" s="56" t="str">
        <f t="shared" si="6"/>
        <v/>
      </c>
      <c r="AR79" s="56" t="str">
        <f t="shared" ref="AR79" si="7">IFERROR(AR77/AR78, "")</f>
        <v/>
      </c>
    </row>
    <row r="80" spans="1:44" s="38" customFormat="1" ht="30" customHeight="1" x14ac:dyDescent="0.2">
      <c r="A80" s="38" t="s">
        <v>24</v>
      </c>
      <c r="B80" s="39"/>
      <c r="C80" s="39"/>
      <c r="D80" s="40"/>
      <c r="E80" s="39"/>
      <c r="F80" s="41"/>
      <c r="G80" s="39"/>
      <c r="H80" s="39"/>
      <c r="I80" s="39"/>
      <c r="J80" s="39"/>
      <c r="K80" s="42"/>
      <c r="L80" s="39"/>
      <c r="M80" s="42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</row>
    <row r="81" spans="1:42" ht="11.4" customHeight="1" x14ac:dyDescent="0.2">
      <c r="A81" s="23" t="s">
        <v>10</v>
      </c>
      <c r="B81" s="13"/>
      <c r="C81" s="13"/>
      <c r="D81" s="13"/>
      <c r="E81" s="13"/>
      <c r="F81" s="13"/>
      <c r="G81" s="13"/>
      <c r="H81" s="13"/>
      <c r="I81" s="13"/>
      <c r="J81" s="13"/>
      <c r="L81" s="13" t="str">
        <f>TEXT(集計表!$C$1,"(e.m/d～)")</f>
        <v>(8.6/1～)</v>
      </c>
      <c r="M81" s="13"/>
      <c r="N81" s="13"/>
      <c r="AE81" s="3"/>
      <c r="AF81" s="3"/>
      <c r="AG81" s="3"/>
      <c r="AH81" s="3"/>
      <c r="AI81" s="3"/>
      <c r="AJ81" s="3"/>
      <c r="AK81" s="3"/>
      <c r="AL81" s="27"/>
      <c r="AM81" s="27"/>
      <c r="AN81" s="3"/>
      <c r="AO81" s="3"/>
      <c r="AP81" s="3"/>
    </row>
    <row r="82" spans="1:42" ht="15.6" x14ac:dyDescent="0.2">
      <c r="A82" s="23" t="s">
        <v>14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1:42" x14ac:dyDescent="0.2">
      <c r="AE83" s="3"/>
      <c r="AF83" s="3"/>
      <c r="AG83" s="3"/>
      <c r="AH83" s="3"/>
      <c r="AI83" s="3"/>
      <c r="AJ83" s="3"/>
      <c r="AK83" s="3"/>
      <c r="AL83" s="28"/>
      <c r="AM83" s="28"/>
      <c r="AN83" s="3"/>
      <c r="AO83" s="3"/>
      <c r="AP83" s="3"/>
    </row>
    <row r="84" spans="1:42" x14ac:dyDescent="0.2"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spans="1:42" x14ac:dyDescent="0.2">
      <c r="AE85" s="3"/>
      <c r="AF85" s="3"/>
      <c r="AG85" s="3"/>
      <c r="AH85" s="3"/>
      <c r="AI85" s="3"/>
      <c r="AJ85" s="3"/>
      <c r="AK85" s="3"/>
      <c r="AL85"/>
      <c r="AM85"/>
      <c r="AN85" s="3"/>
      <c r="AO85" s="3"/>
      <c r="AP85" s="3"/>
    </row>
    <row r="86" spans="1:42" x14ac:dyDescent="0.2">
      <c r="AE86" s="3"/>
      <c r="AF86" s="3"/>
      <c r="AG86" s="3"/>
      <c r="AH86" s="3"/>
      <c r="AI86" s="3"/>
      <c r="AJ86" s="3"/>
      <c r="AK86" s="3"/>
      <c r="AL86"/>
      <c r="AM86"/>
      <c r="AN86" s="3"/>
      <c r="AO86" s="3"/>
      <c r="AP86" s="3"/>
    </row>
    <row r="87" spans="1:42" x14ac:dyDescent="0.2">
      <c r="AE87" s="3"/>
      <c r="AF87" s="3"/>
      <c r="AG87" s="3"/>
      <c r="AH87" s="3"/>
      <c r="AI87" s="3"/>
      <c r="AJ87" s="3"/>
      <c r="AK87" s="3"/>
      <c r="AL87" s="27"/>
      <c r="AM87" s="27"/>
      <c r="AN87" s="3"/>
      <c r="AO87" s="3"/>
      <c r="AP87" s="3"/>
    </row>
    <row r="88" spans="1:42" x14ac:dyDescent="0.2"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spans="1:42" x14ac:dyDescent="0.2">
      <c r="AE89" s="3"/>
      <c r="AF89" s="3"/>
      <c r="AG89" s="3"/>
      <c r="AH89" s="3"/>
      <c r="AI89" s="3"/>
      <c r="AJ89" s="3"/>
      <c r="AK89" s="3"/>
      <c r="AL89" s="28"/>
      <c r="AM89" s="28"/>
      <c r="AN89" s="3"/>
      <c r="AO89" s="3"/>
      <c r="AP89" s="3"/>
    </row>
    <row r="90" spans="1:42" x14ac:dyDescent="0.2"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1:42" x14ac:dyDescent="0.2">
      <c r="AE91" s="3"/>
      <c r="AF91" s="3"/>
      <c r="AG91" s="3"/>
      <c r="AH91" s="3"/>
      <c r="AI91" s="3"/>
      <c r="AJ91" s="3"/>
      <c r="AK91" s="3"/>
      <c r="AL91"/>
      <c r="AM91"/>
      <c r="AN91" s="3"/>
      <c r="AO91" s="3"/>
      <c r="AP91" s="3"/>
    </row>
    <row r="92" spans="1:42" x14ac:dyDescent="0.2"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spans="1:42" x14ac:dyDescent="0.2"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spans="1:42" x14ac:dyDescent="0.2"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spans="1:42" x14ac:dyDescent="0.2"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1:42" x14ac:dyDescent="0.2"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spans="31:42" x14ac:dyDescent="0.2"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spans="31:42" x14ac:dyDescent="0.2"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spans="31:42" x14ac:dyDescent="0.2"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spans="31:42" x14ac:dyDescent="0.2"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spans="31:42" x14ac:dyDescent="0.2"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spans="31:42" x14ac:dyDescent="0.2"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spans="31:42" x14ac:dyDescent="0.2"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spans="31:42" x14ac:dyDescent="0.2"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spans="31:42" x14ac:dyDescent="0.2"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spans="31:42" x14ac:dyDescent="0.2"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spans="31:42" x14ac:dyDescent="0.2"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spans="31:42" x14ac:dyDescent="0.2"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spans="31:42" x14ac:dyDescent="0.2"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spans="31:42" x14ac:dyDescent="0.2"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spans="31:42" x14ac:dyDescent="0.2"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spans="31:42" x14ac:dyDescent="0.2"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spans="1:45" ht="9" customHeight="1" x14ac:dyDescent="0.2"/>
    <row r="114" spans="1:45" s="46" customFormat="1" ht="15.9" customHeight="1" x14ac:dyDescent="0.2">
      <c r="B114" s="45"/>
      <c r="C114" s="45"/>
      <c r="D114" s="44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4"/>
      <c r="S114" s="45"/>
      <c r="T114" s="45"/>
      <c r="U114" s="45"/>
      <c r="V114" s="45"/>
      <c r="W114" s="45"/>
      <c r="X114" s="45"/>
      <c r="Y114" s="45"/>
      <c r="Z114" s="45"/>
      <c r="AA114" s="44"/>
      <c r="AB114" s="45"/>
      <c r="AC114" s="45"/>
      <c r="AD114" s="45"/>
      <c r="AE114" s="45"/>
      <c r="AF114" s="67"/>
      <c r="AG114" s="45"/>
      <c r="AH114" s="45"/>
      <c r="AI114" s="45"/>
      <c r="AJ114" s="49"/>
      <c r="AM114" s="45"/>
      <c r="AN114" s="49"/>
      <c r="AO114" s="45"/>
      <c r="AP114" s="45"/>
      <c r="AQ114" s="45"/>
      <c r="AR114" s="45"/>
    </row>
    <row r="115" spans="1:45" x14ac:dyDescent="0.2">
      <c r="A115" s="50">
        <f>集計表!C13</f>
        <v>46174</v>
      </c>
      <c r="B115" s="63" t="str">
        <f>集計表!D13</f>
        <v>6/1</v>
      </c>
      <c r="C115" s="52" t="str">
        <f>集計表!E13</f>
        <v>2</v>
      </c>
      <c r="D115" s="52" t="str">
        <f>集計表!F13</f>
        <v>4</v>
      </c>
      <c r="E115" s="52" t="str">
        <f>集計表!G13</f>
        <v>5</v>
      </c>
      <c r="F115" s="52" t="str">
        <f>集計表!H13</f>
        <v>6</v>
      </c>
      <c r="G115" s="52" t="str">
        <f>集計表!I13</f>
        <v>8</v>
      </c>
      <c r="H115" s="52" t="str">
        <f>集計表!J13</f>
        <v>9</v>
      </c>
      <c r="I115" s="52" t="str">
        <f>集計表!K13</f>
        <v>11</v>
      </c>
      <c r="J115" s="52" t="str">
        <f>集計表!L13</f>
        <v>12</v>
      </c>
      <c r="K115" s="52" t="str">
        <f>集計表!M13</f>
        <v>13</v>
      </c>
      <c r="L115" s="52" t="str">
        <f>集計表!N13</f>
        <v>15</v>
      </c>
      <c r="M115" s="52" t="str">
        <f>集計表!O13</f>
        <v>16</v>
      </c>
      <c r="N115" s="52" t="str">
        <f>集計表!P13</f>
        <v>18</v>
      </c>
      <c r="O115" s="52" t="str">
        <f>集計表!Q13</f>
        <v>19</v>
      </c>
      <c r="P115" s="52" t="str">
        <f>集計表!R13</f>
        <v>20</v>
      </c>
      <c r="Q115" s="52" t="str">
        <f>集計表!S13</f>
        <v>22</v>
      </c>
      <c r="R115" s="52" t="str">
        <f>集計表!T13</f>
        <v>23</v>
      </c>
      <c r="S115" s="52" t="str">
        <f>集計表!U13</f>
        <v>25</v>
      </c>
      <c r="T115" s="52" t="str">
        <f>集計表!V13</f>
        <v>26</v>
      </c>
      <c r="U115" s="52" t="str">
        <f>集計表!W13</f>
        <v>27</v>
      </c>
      <c r="V115" s="52" t="str">
        <f>集計表!X13</f>
        <v>29</v>
      </c>
      <c r="W115" s="52" t="str">
        <f>集計表!Y13</f>
        <v>30</v>
      </c>
      <c r="X115" s="52" t="str">
        <f>集計表!Z13</f>
        <v>7/2</v>
      </c>
      <c r="Y115" s="52" t="str">
        <f>集計表!AA13</f>
        <v>3</v>
      </c>
      <c r="Z115" s="52" t="str">
        <f>集計表!AB13</f>
        <v>4</v>
      </c>
      <c r="AA115" s="52" t="str">
        <f>集計表!AC13</f>
        <v>6</v>
      </c>
      <c r="AB115" s="52" t="str">
        <f>集計表!AD13</f>
        <v>7</v>
      </c>
      <c r="AC115" s="52" t="str">
        <f>集計表!AE13</f>
        <v>9</v>
      </c>
      <c r="AD115" s="52" t="str">
        <f>集計表!AF13</f>
        <v>10</v>
      </c>
      <c r="AE115" s="52" t="str">
        <f>集計表!AG13</f>
        <v>11</v>
      </c>
      <c r="AF115" s="52" t="str">
        <f>集計表!AH13</f>
        <v>13</v>
      </c>
      <c r="AG115" s="52" t="str">
        <f>集計表!AI13</f>
        <v>14</v>
      </c>
      <c r="AH115" s="52" t="str">
        <f>集計表!AJ13</f>
        <v>16</v>
      </c>
      <c r="AI115" s="52" t="str">
        <f>集計表!AK13</f>
        <v>17</v>
      </c>
      <c r="AJ115" s="52" t="str">
        <f>集計表!AL13</f>
        <v>18</v>
      </c>
      <c r="AK115" s="52" t="str">
        <f>集計表!AM13</f>
        <v>21</v>
      </c>
      <c r="AL115" s="52" t="str">
        <f>集計表!AN13</f>
        <v>23</v>
      </c>
      <c r="AM115" s="52" t="str">
        <f>集計表!AO13</f>
        <v>24</v>
      </c>
      <c r="AN115" s="52" t="str">
        <f>集計表!AP13</f>
        <v>25</v>
      </c>
      <c r="AO115" s="52" t="str">
        <f>集計表!AQ13</f>
        <v>27</v>
      </c>
      <c r="AP115" s="52" t="str">
        <f>集計表!AR13</f>
        <v>28</v>
      </c>
      <c r="AQ115" s="52" t="str">
        <f>集計表!AS13</f>
        <v>30</v>
      </c>
      <c r="AR115" s="52" t="str">
        <f>集計表!AT13</f>
        <v>31</v>
      </c>
    </row>
    <row r="116" spans="1:45" s="48" customFormat="1" x14ac:dyDescent="0.2">
      <c r="A116" s="54" t="s">
        <v>0</v>
      </c>
      <c r="B116" s="34">
        <f>IF(集計表!D15="","",集計表!D15)</f>
        <v>78.353999999999999</v>
      </c>
      <c r="C116" s="34">
        <f>IF(集計表!E15="","",集計表!E15)</f>
        <v>86.69</v>
      </c>
      <c r="D116" s="34">
        <f>IF(集計表!F15="","",集計表!F15)</f>
        <v>77.043000000000006</v>
      </c>
      <c r="E116" s="34">
        <f>IF(集計表!G15="","",集計表!G15)</f>
        <v>84.766999999999996</v>
      </c>
      <c r="F116" s="34">
        <f>IF(集計表!H15="","",集計表!H15)</f>
        <v>87.317999999999998</v>
      </c>
      <c r="G116" s="34">
        <f>IF(集計表!I15="","",集計表!I15)</f>
        <v>88.882999999999996</v>
      </c>
      <c r="H116" s="34">
        <f>IF(集計表!J15="","",集計表!J15)</f>
        <v>74.004000000000005</v>
      </c>
      <c r="I116" s="34">
        <f>IF(集計表!K15="","",集計表!K15)</f>
        <v>92.471000000000004</v>
      </c>
      <c r="J116" s="34">
        <f>IF(集計表!L15="","",集計表!L15)</f>
        <v>61.011000000000003</v>
      </c>
      <c r="K116" s="34">
        <f>IF(集計表!M15="","",集計表!M15)</f>
        <v>85.02</v>
      </c>
      <c r="L116" s="34">
        <f>IF(集計表!N15="","",集計表!N15)</f>
        <v>93.108999999999995</v>
      </c>
      <c r="M116" s="34">
        <f>IF(集計表!O15="","",集計表!O15)</f>
        <v>82.009</v>
      </c>
      <c r="N116" s="34">
        <f>IF(集計表!P15="","",集計表!P15)</f>
        <v>108.929</v>
      </c>
      <c r="O116" s="34">
        <f>IF(集計表!Q15="","",集計表!Q15)</f>
        <v>101.349</v>
      </c>
      <c r="P116" s="34">
        <f>IF(集計表!R15="","",集計表!R15)</f>
        <v>109.69799999999999</v>
      </c>
      <c r="Q116" s="34">
        <f>IF(集計表!S15="","",集計表!S15)</f>
        <v>91.275999999999996</v>
      </c>
      <c r="R116" s="34">
        <f>IF(集計表!T15="","",集計表!T15)</f>
        <v>88.927000000000007</v>
      </c>
      <c r="S116" s="34">
        <f>IF(集計表!U15="","",集計表!U15)</f>
        <v>71.608999999999995</v>
      </c>
      <c r="T116" s="34">
        <f>IF(集計表!V15="","",集計表!V15)</f>
        <v>70.146000000000001</v>
      </c>
      <c r="U116" s="34">
        <f>IF(集計表!W15="","",集計表!W15)</f>
        <v>113.005</v>
      </c>
      <c r="V116" s="34">
        <f>IF(集計表!X15="","",集計表!X15)</f>
        <v>117.64</v>
      </c>
      <c r="W116" s="34">
        <f>IF(集計表!Y15="","",集計表!Y15)</f>
        <v>96.501000000000005</v>
      </c>
      <c r="X116" s="34">
        <f>IF(集計表!Z15="","",集計表!Z15)</f>
        <v>114.602</v>
      </c>
      <c r="Y116" s="34">
        <f>IF(集計表!AA15="","",集計表!AA15)</f>
        <v>85.028999999999996</v>
      </c>
      <c r="Z116" s="34">
        <f>IF(集計表!AB15="","",集計表!AB15)</f>
        <v>97.600999999999999</v>
      </c>
      <c r="AA116" s="34">
        <f>IF(集計表!AC15="","",集計表!AC15)</f>
        <v>116.44199999999999</v>
      </c>
      <c r="AB116" s="34">
        <f>IF(集計表!AD15="","",集計表!AD15)</f>
        <v>89.037999999999997</v>
      </c>
      <c r="AC116" s="34" t="str">
        <f>IF(集計表!AE15="","",集計表!AE15)</f>
        <v/>
      </c>
      <c r="AD116" s="34" t="str">
        <f>IF(集計表!AF15="","",集計表!AF15)</f>
        <v/>
      </c>
      <c r="AE116" s="34" t="str">
        <f>IF(集計表!AG15="","",集計表!AG15)</f>
        <v/>
      </c>
      <c r="AF116" s="34" t="str">
        <f>IF(集計表!AH15="","",集計表!AH15)</f>
        <v/>
      </c>
      <c r="AG116" s="34" t="str">
        <f>IF(集計表!AI15="","",集計表!AI15)</f>
        <v/>
      </c>
      <c r="AH116" s="34" t="str">
        <f>IF(集計表!AJ15="","",集計表!AJ15)</f>
        <v/>
      </c>
      <c r="AI116" s="34" t="str">
        <f>IF(集計表!AK15="","",集計表!AK15)</f>
        <v/>
      </c>
      <c r="AJ116" s="34" t="str">
        <f>IF(集計表!AL15="","",集計表!AL15)</f>
        <v/>
      </c>
      <c r="AK116" s="34" t="str">
        <f>IF(集計表!AM15="","",集計表!AM15)</f>
        <v/>
      </c>
      <c r="AL116" s="34" t="str">
        <f>IF(集計表!AN15="","",集計表!AN15)</f>
        <v/>
      </c>
      <c r="AM116" s="34" t="str">
        <f>IF(集計表!AO15="","",集計表!AO15)</f>
        <v/>
      </c>
      <c r="AN116" s="34" t="str">
        <f>IF(集計表!AP15="","",集計表!AP15)</f>
        <v/>
      </c>
      <c r="AO116" s="34" t="str">
        <f>IF(集計表!AQ15="","",集計表!AQ15)</f>
        <v/>
      </c>
      <c r="AP116" s="34" t="str">
        <f>IF(集計表!AR15="","",集計表!AR15)</f>
        <v/>
      </c>
      <c r="AQ116" s="34" t="str">
        <f>IF(集計表!AS15="","",集計表!AS15)</f>
        <v/>
      </c>
      <c r="AR116" s="34" t="str">
        <f>IF(集計表!AT15="","",集計表!AT15)</f>
        <v/>
      </c>
    </row>
    <row r="117" spans="1:45" s="48" customFormat="1" x14ac:dyDescent="0.2">
      <c r="A117" s="54" t="s">
        <v>1</v>
      </c>
      <c r="B117" s="34">
        <f>IF(集計表!D16=0,NA(),集計表!D16)</f>
        <v>119</v>
      </c>
      <c r="C117" s="34">
        <f>IF(集計表!E16=0,NA(),集計表!E16)</f>
        <v>115</v>
      </c>
      <c r="D117" s="34">
        <f>IF(集計表!F16=0,NA(),集計表!F16)</f>
        <v>107</v>
      </c>
      <c r="E117" s="34">
        <f>IF(集計表!G16=0,NA(),集計表!G16)</f>
        <v>108</v>
      </c>
      <c r="F117" s="34">
        <f>IF(集計表!H16=0,NA(),集計表!H16)</f>
        <v>112</v>
      </c>
      <c r="G117" s="34">
        <f>IF(集計表!I16=0,NA(),集計表!I16)</f>
        <v>111</v>
      </c>
      <c r="H117" s="34">
        <f>IF(集計表!J16=0,NA(),集計表!J16)</f>
        <v>116</v>
      </c>
      <c r="I117" s="34">
        <f>IF(集計表!K16=0,NA(),集計表!K16)</f>
        <v>120</v>
      </c>
      <c r="J117" s="34">
        <f>IF(集計表!L16=0,NA(),集計表!L16)</f>
        <v>125</v>
      </c>
      <c r="K117" s="34">
        <f>IF(集計表!M16=0,NA(),集計表!M16)</f>
        <v>120</v>
      </c>
      <c r="L117" s="34">
        <f>IF(集計表!N16=0,NA(),集計表!N16)</f>
        <v>126</v>
      </c>
      <c r="M117" s="34">
        <f>IF(集計表!O16=0,NA(),集計表!O16)</f>
        <v>123</v>
      </c>
      <c r="N117" s="34">
        <f>IF(集計表!P16=0,NA(),集計表!P16)</f>
        <v>126</v>
      </c>
      <c r="O117" s="34">
        <f>IF(集計表!Q16=0,NA(),集計表!Q16)</f>
        <v>121</v>
      </c>
      <c r="P117" s="34">
        <f>IF(集計表!R16=0,NA(),集計表!R16)</f>
        <v>122</v>
      </c>
      <c r="Q117" s="34">
        <f>IF(集計表!S16=0,NA(),集計表!S16)</f>
        <v>121</v>
      </c>
      <c r="R117" s="34">
        <f>IF(集計表!T16=0,NA(),集計表!T16)</f>
        <v>130</v>
      </c>
      <c r="S117" s="34">
        <f>IF(集計表!U16=0,NA(),集計表!U16)</f>
        <v>135</v>
      </c>
      <c r="T117" s="34">
        <f>IF(集計表!V16=0,NA(),集計表!V16)</f>
        <v>136</v>
      </c>
      <c r="U117" s="34">
        <f>IF(集計表!W16=0,NA(),集計表!W16)</f>
        <v>135</v>
      </c>
      <c r="V117" s="34">
        <f>IF(集計表!X16=0,NA(),集計表!X16)</f>
        <v>139</v>
      </c>
      <c r="W117" s="34">
        <f>IF(集計表!Y16=0,NA(),集計表!Y16)</f>
        <v>141</v>
      </c>
      <c r="X117" s="34">
        <f>IF(集計表!Z16=0,NA(),集計表!Z16)</f>
        <v>144</v>
      </c>
      <c r="Y117" s="34">
        <f>IF(集計表!AA16=0,NA(),集計表!AA16)</f>
        <v>144</v>
      </c>
      <c r="Z117" s="34">
        <f>IF(集計表!AB16=0,NA(),集計表!AB16)</f>
        <v>142</v>
      </c>
      <c r="AA117" s="34">
        <f>IF(集計表!AC16=0,NA(),集計表!AC16)</f>
        <v>145</v>
      </c>
      <c r="AB117" s="34">
        <f>IF(集計表!AD16=0,NA(),集計表!AD16)</f>
        <v>148</v>
      </c>
      <c r="AC117" s="34" t="e">
        <f>IF(集計表!AE16=0,NA(),集計表!AE16)</f>
        <v>#N/A</v>
      </c>
      <c r="AD117" s="34" t="e">
        <f>IF(集計表!AF16=0,NA(),集計表!AF16)</f>
        <v>#N/A</v>
      </c>
      <c r="AE117" s="34" t="e">
        <f>IF(集計表!AG16=0,NA(),集計表!AG16)</f>
        <v>#N/A</v>
      </c>
      <c r="AF117" s="34" t="e">
        <f>IF(集計表!AH16=0,NA(),集計表!AH16)</f>
        <v>#N/A</v>
      </c>
      <c r="AG117" s="34" t="e">
        <f>IF(集計表!AI16=0,NA(),集計表!AI16)</f>
        <v>#N/A</v>
      </c>
      <c r="AH117" s="34" t="e">
        <f>IF(集計表!AJ16=0,NA(),集計表!AJ16)</f>
        <v>#N/A</v>
      </c>
      <c r="AI117" s="34" t="e">
        <f>IF(集計表!AK16=0,NA(),集計表!AK16)</f>
        <v>#N/A</v>
      </c>
      <c r="AJ117" s="34" t="e">
        <f>IF(集計表!AL16=0,NA(),集計表!AL16)</f>
        <v>#N/A</v>
      </c>
      <c r="AK117" s="34" t="e">
        <f>IF(集計表!AM16=0,NA(),集計表!AM16)</f>
        <v>#N/A</v>
      </c>
      <c r="AL117" s="34" t="e">
        <f>IF(集計表!AN16=0,NA(),集計表!AN16)</f>
        <v>#N/A</v>
      </c>
      <c r="AM117" s="34" t="e">
        <f>IF(集計表!AO16=0,NA(),集計表!AO16)</f>
        <v>#N/A</v>
      </c>
      <c r="AN117" s="34" t="e">
        <f>IF(集計表!AP16=0,NA(),集計表!AP16)</f>
        <v>#N/A</v>
      </c>
      <c r="AO117" s="34" t="e">
        <f>IF(集計表!AQ16=0,NA(),集計表!AQ16)</f>
        <v>#N/A</v>
      </c>
      <c r="AP117" s="34" t="e">
        <f>IF(集計表!AR16=0,NA(),集計表!AR16)</f>
        <v>#N/A</v>
      </c>
      <c r="AQ117" s="34" t="e">
        <f>IF(集計表!AS16=0,NA(),集計表!AS16)</f>
        <v>#N/A</v>
      </c>
      <c r="AR117" s="34" t="e">
        <f>IF(集計表!AT16=0,NA(),集計表!AT16)</f>
        <v>#N/A</v>
      </c>
    </row>
    <row r="118" spans="1:45" s="48" customFormat="1" x14ac:dyDescent="0.2">
      <c r="A118" s="54" t="s">
        <v>2</v>
      </c>
      <c r="B118" s="34">
        <f>集計表!D17</f>
        <v>116</v>
      </c>
      <c r="C118" s="34">
        <f>集計表!E17</f>
        <v>116</v>
      </c>
      <c r="D118" s="34">
        <f>集計表!F17</f>
        <v>116</v>
      </c>
      <c r="E118" s="34">
        <f>集計表!G17</f>
        <v>116</v>
      </c>
      <c r="F118" s="34">
        <f>集計表!H17</f>
        <v>116</v>
      </c>
      <c r="G118" s="34">
        <f>集計表!I17</f>
        <v>116</v>
      </c>
      <c r="H118" s="34">
        <f>集計表!J17</f>
        <v>116</v>
      </c>
      <c r="I118" s="34">
        <f>集計表!K17</f>
        <v>113</v>
      </c>
      <c r="J118" s="34">
        <f>集計表!L17</f>
        <v>113</v>
      </c>
      <c r="K118" s="34">
        <f>集計表!M17</f>
        <v>113</v>
      </c>
      <c r="L118" s="34">
        <f>集計表!N17</f>
        <v>113</v>
      </c>
      <c r="M118" s="34">
        <f>集計表!O17</f>
        <v>113</v>
      </c>
      <c r="N118" s="34">
        <f>集計表!P17</f>
        <v>113</v>
      </c>
      <c r="O118" s="34">
        <f>集計表!Q17</f>
        <v>113</v>
      </c>
      <c r="P118" s="34">
        <f>集計表!R17</f>
        <v>113</v>
      </c>
      <c r="Q118" s="34">
        <f>集計表!S17</f>
        <v>102</v>
      </c>
      <c r="R118" s="34">
        <f>集計表!T17</f>
        <v>102</v>
      </c>
      <c r="S118" s="34">
        <f>集計表!U17</f>
        <v>102</v>
      </c>
      <c r="T118" s="34">
        <f>集計表!V17</f>
        <v>102</v>
      </c>
      <c r="U118" s="34">
        <f>集計表!W17</f>
        <v>102</v>
      </c>
      <c r="V118" s="34">
        <f>集計表!X17</f>
        <v>102</v>
      </c>
      <c r="W118" s="34">
        <f>集計表!Y17</f>
        <v>102</v>
      </c>
      <c r="X118" s="34">
        <f>集計表!Z17</f>
        <v>104</v>
      </c>
      <c r="Y118" s="34">
        <f>集計表!AA17</f>
        <v>104</v>
      </c>
      <c r="Z118" s="34">
        <f>集計表!AB17</f>
        <v>104</v>
      </c>
      <c r="AA118" s="34">
        <f>集計表!AC17</f>
        <v>104</v>
      </c>
      <c r="AB118" s="34">
        <f>集計表!AD17</f>
        <v>104</v>
      </c>
      <c r="AC118" s="34">
        <f>集計表!AE17</f>
        <v>104</v>
      </c>
      <c r="AD118" s="34">
        <f>集計表!AF17</f>
        <v>104</v>
      </c>
      <c r="AE118" s="34">
        <f>集計表!AG17</f>
        <v>99</v>
      </c>
      <c r="AF118" s="34">
        <f>集計表!AH17</f>
        <v>99</v>
      </c>
      <c r="AG118" s="34">
        <f>集計表!AI17</f>
        <v>99</v>
      </c>
      <c r="AH118" s="34">
        <f>集計表!AJ17</f>
        <v>99</v>
      </c>
      <c r="AI118" s="34">
        <f>集計表!AK17</f>
        <v>99</v>
      </c>
      <c r="AJ118" s="34">
        <f>集計表!AL17</f>
        <v>99</v>
      </c>
      <c r="AK118" s="34">
        <f>集計表!AM17</f>
        <v>95</v>
      </c>
      <c r="AL118" s="34">
        <f>集計表!AN17</f>
        <v>95</v>
      </c>
      <c r="AM118" s="34">
        <f>集計表!AO17</f>
        <v>95</v>
      </c>
      <c r="AN118" s="34">
        <f>集計表!AP17</f>
        <v>95</v>
      </c>
      <c r="AO118" s="34">
        <f>集計表!AQ17</f>
        <v>95</v>
      </c>
      <c r="AP118" s="34">
        <f>集計表!AR17</f>
        <v>95</v>
      </c>
      <c r="AQ118" s="34">
        <f>集計表!AS17</f>
        <v>95</v>
      </c>
      <c r="AR118" s="34">
        <f>集計表!AT17</f>
        <v>95</v>
      </c>
    </row>
    <row r="119" spans="1:45" ht="13.5" customHeight="1" x14ac:dyDescent="0.2">
      <c r="A119" s="55" t="s">
        <v>20</v>
      </c>
      <c r="B119" s="56">
        <f>IFERROR(B117/B118, "")</f>
        <v>1.0258620689655173</v>
      </c>
      <c r="C119" s="56">
        <f t="shared" ref="C119:AM119" si="8">IFERROR(C117/C118, "")</f>
        <v>0.99137931034482762</v>
      </c>
      <c r="D119" s="56">
        <f t="shared" si="8"/>
        <v>0.92241379310344829</v>
      </c>
      <c r="E119" s="56">
        <f t="shared" si="8"/>
        <v>0.93103448275862066</v>
      </c>
      <c r="F119" s="56">
        <f t="shared" si="8"/>
        <v>0.96551724137931039</v>
      </c>
      <c r="G119" s="56">
        <f t="shared" si="8"/>
        <v>0.9568965517241379</v>
      </c>
      <c r="H119" s="56">
        <f t="shared" si="8"/>
        <v>1</v>
      </c>
      <c r="I119" s="56">
        <f t="shared" si="8"/>
        <v>1.0619469026548674</v>
      </c>
      <c r="J119" s="56">
        <f t="shared" si="8"/>
        <v>1.1061946902654867</v>
      </c>
      <c r="K119" s="56">
        <f t="shared" si="8"/>
        <v>1.0619469026548674</v>
      </c>
      <c r="L119" s="56">
        <f t="shared" si="8"/>
        <v>1.1150442477876106</v>
      </c>
      <c r="M119" s="56">
        <f t="shared" si="8"/>
        <v>1.0884955752212389</v>
      </c>
      <c r="N119" s="56">
        <f t="shared" si="8"/>
        <v>1.1150442477876106</v>
      </c>
      <c r="O119" s="56">
        <f t="shared" si="8"/>
        <v>1.0707964601769913</v>
      </c>
      <c r="P119" s="57">
        <f t="shared" si="8"/>
        <v>1.0796460176991149</v>
      </c>
      <c r="Q119" s="57">
        <f t="shared" si="8"/>
        <v>1.1862745098039216</v>
      </c>
      <c r="R119" s="57">
        <f t="shared" si="8"/>
        <v>1.2745098039215685</v>
      </c>
      <c r="S119" s="56">
        <f t="shared" si="8"/>
        <v>1.3235294117647058</v>
      </c>
      <c r="T119" s="56">
        <f t="shared" si="8"/>
        <v>1.3333333333333333</v>
      </c>
      <c r="U119" s="56">
        <f t="shared" si="8"/>
        <v>1.3235294117647058</v>
      </c>
      <c r="V119" s="56">
        <f t="shared" si="8"/>
        <v>1.3627450980392157</v>
      </c>
      <c r="W119" s="56">
        <f t="shared" si="8"/>
        <v>1.3823529411764706</v>
      </c>
      <c r="X119" s="57">
        <f t="shared" si="8"/>
        <v>1.3846153846153846</v>
      </c>
      <c r="Y119" s="56">
        <f t="shared" si="8"/>
        <v>1.3846153846153846</v>
      </c>
      <c r="Z119" s="56">
        <f t="shared" si="8"/>
        <v>1.3653846153846154</v>
      </c>
      <c r="AA119" s="56">
        <f t="shared" si="8"/>
        <v>1.3942307692307692</v>
      </c>
      <c r="AB119" s="56">
        <f t="shared" si="8"/>
        <v>1.4230769230769231</v>
      </c>
      <c r="AC119" s="56" t="str">
        <f t="shared" si="8"/>
        <v/>
      </c>
      <c r="AD119" s="56" t="str">
        <f t="shared" si="8"/>
        <v/>
      </c>
      <c r="AE119" s="56" t="str">
        <f t="shared" si="8"/>
        <v/>
      </c>
      <c r="AF119" s="56" t="str">
        <f t="shared" si="8"/>
        <v/>
      </c>
      <c r="AG119" s="56" t="str">
        <f t="shared" si="8"/>
        <v/>
      </c>
      <c r="AH119" s="56" t="str">
        <f t="shared" si="8"/>
        <v/>
      </c>
      <c r="AI119" s="56" t="str">
        <f t="shared" si="8"/>
        <v/>
      </c>
      <c r="AJ119" s="57" t="str">
        <f t="shared" si="8"/>
        <v/>
      </c>
      <c r="AK119" s="57" t="str">
        <f t="shared" si="8"/>
        <v/>
      </c>
      <c r="AL119" s="57" t="str">
        <f t="shared" si="8"/>
        <v/>
      </c>
      <c r="AM119" s="56" t="str">
        <f t="shared" si="8"/>
        <v/>
      </c>
      <c r="AN119" s="57" t="str">
        <f t="shared" ref="AN119:AO119" si="9">IFERROR(AN117/AN118, "")</f>
        <v/>
      </c>
      <c r="AO119" s="56" t="str">
        <f t="shared" si="9"/>
        <v/>
      </c>
      <c r="AP119" s="56" t="str">
        <f t="shared" ref="AP119:AQ119" si="10">IFERROR(AP117/AP118, "")</f>
        <v/>
      </c>
      <c r="AQ119" s="56" t="str">
        <f t="shared" si="10"/>
        <v/>
      </c>
      <c r="AR119" s="56" t="str">
        <f t="shared" ref="AR119" si="11">IFERROR(AR117/AR118, "")</f>
        <v/>
      </c>
    </row>
    <row r="120" spans="1:45" s="38" customFormat="1" ht="30" customHeight="1" x14ac:dyDescent="0.2">
      <c r="A120" s="38" t="s">
        <v>24</v>
      </c>
      <c r="B120" s="39"/>
      <c r="C120" s="39"/>
      <c r="D120" s="40"/>
      <c r="E120" s="39"/>
      <c r="F120" s="41"/>
      <c r="G120" s="39"/>
      <c r="H120" s="39"/>
      <c r="I120" s="39"/>
      <c r="J120" s="39"/>
      <c r="K120" s="42"/>
      <c r="L120" s="39"/>
      <c r="M120" s="42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Q120"/>
      <c r="AR120"/>
      <c r="AS120"/>
    </row>
    <row r="121" spans="1:45" ht="15.6" x14ac:dyDescent="0.2">
      <c r="A121" s="23" t="s">
        <v>10</v>
      </c>
      <c r="B121" s="13"/>
      <c r="C121" s="13"/>
      <c r="D121" s="13"/>
      <c r="E121" s="13"/>
      <c r="F121" s="13"/>
      <c r="G121" s="13"/>
      <c r="H121" s="13"/>
      <c r="I121" s="13"/>
      <c r="J121" s="13"/>
      <c r="L121" s="13" t="str">
        <f>TEXT(集計表!$C$1,"(e.m/d～)")</f>
        <v>(8.6/1～)</v>
      </c>
      <c r="M121" s="13"/>
      <c r="N121" s="13"/>
    </row>
    <row r="122" spans="1:45" ht="15.6" x14ac:dyDescent="0.2">
      <c r="A122" s="23" t="s">
        <v>15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53" spans="1:44" ht="12" customHeight="1" x14ac:dyDescent="0.2"/>
    <row r="154" spans="1:44" s="46" customFormat="1" ht="15.9" customHeight="1" x14ac:dyDescent="0.2">
      <c r="B154" s="45"/>
      <c r="C154" s="45"/>
      <c r="E154" s="45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S154" s="45"/>
      <c r="T154" s="45"/>
      <c r="U154" s="45"/>
      <c r="V154" s="45"/>
      <c r="X154" s="45"/>
      <c r="Y154" s="45"/>
      <c r="Z154" s="45"/>
      <c r="AA154" s="44"/>
      <c r="AC154" s="45"/>
      <c r="AD154" s="45"/>
      <c r="AE154" s="45"/>
      <c r="AF154" s="45"/>
      <c r="AG154" s="45"/>
      <c r="AH154" s="45"/>
      <c r="AI154" s="45"/>
      <c r="AJ154" s="49"/>
      <c r="AK154" s="45"/>
      <c r="AN154" s="49"/>
      <c r="AO154" s="45"/>
      <c r="AP154" s="45"/>
      <c r="AR154" s="44"/>
    </row>
    <row r="155" spans="1:44" x14ac:dyDescent="0.2">
      <c r="A155" s="50">
        <f>集計表!C19</f>
        <v>46174</v>
      </c>
      <c r="B155" s="63" t="str">
        <f>集計表!D19</f>
        <v>6/1</v>
      </c>
      <c r="C155" s="64" t="str">
        <f>集計表!E19</f>
        <v>2</v>
      </c>
      <c r="D155" s="64" t="str">
        <f>集計表!F19</f>
        <v>4</v>
      </c>
      <c r="E155" s="64" t="str">
        <f>集計表!G19</f>
        <v>5</v>
      </c>
      <c r="F155" s="64" t="str">
        <f>集計表!H19</f>
        <v>6</v>
      </c>
      <c r="G155" s="64" t="str">
        <f>集計表!I19</f>
        <v>8</v>
      </c>
      <c r="H155" s="64" t="str">
        <f>集計表!J19</f>
        <v>9</v>
      </c>
      <c r="I155" s="64" t="str">
        <f>集計表!K19</f>
        <v>11</v>
      </c>
      <c r="J155" s="64" t="str">
        <f>集計表!L19</f>
        <v>12</v>
      </c>
      <c r="K155" s="64" t="str">
        <f>集計表!M19</f>
        <v>13</v>
      </c>
      <c r="L155" s="64" t="str">
        <f>集計表!N19</f>
        <v>15</v>
      </c>
      <c r="M155" s="64" t="str">
        <f>集計表!O19</f>
        <v>16</v>
      </c>
      <c r="N155" s="64" t="str">
        <f>集計表!P19</f>
        <v>18</v>
      </c>
      <c r="O155" s="64" t="str">
        <f>集計表!Q19</f>
        <v>19</v>
      </c>
      <c r="P155" s="64" t="str">
        <f>集計表!R19</f>
        <v>20</v>
      </c>
      <c r="Q155" s="64" t="str">
        <f>集計表!S19</f>
        <v>22</v>
      </c>
      <c r="R155" s="64" t="str">
        <f>集計表!T19</f>
        <v>23</v>
      </c>
      <c r="S155" s="64" t="str">
        <f>集計表!U19</f>
        <v>25</v>
      </c>
      <c r="T155" s="64" t="str">
        <f>集計表!V19</f>
        <v>26</v>
      </c>
      <c r="U155" s="64" t="str">
        <f>集計表!W19</f>
        <v>27</v>
      </c>
      <c r="V155" s="64" t="str">
        <f>集計表!X19</f>
        <v>29</v>
      </c>
      <c r="W155" s="65" t="str">
        <f>集計表!Y19</f>
        <v>30</v>
      </c>
      <c r="X155" s="64" t="str">
        <f>集計表!Z19</f>
        <v>7/2</v>
      </c>
      <c r="Y155" s="64" t="str">
        <f>集計表!AA19</f>
        <v>3</v>
      </c>
      <c r="Z155" s="64" t="str">
        <f>集計表!AB19</f>
        <v>4</v>
      </c>
      <c r="AA155" s="64" t="str">
        <f>集計表!AC19</f>
        <v>6</v>
      </c>
      <c r="AB155" s="64" t="str">
        <f>集計表!AD19</f>
        <v>7</v>
      </c>
      <c r="AC155" s="64" t="str">
        <f>集計表!AE19</f>
        <v>9</v>
      </c>
      <c r="AD155" s="65" t="str">
        <f>集計表!AF19</f>
        <v>10</v>
      </c>
      <c r="AE155" s="64" t="str">
        <f>集計表!AG19</f>
        <v>11</v>
      </c>
      <c r="AF155" s="64" t="str">
        <f>集計表!AH19</f>
        <v>13</v>
      </c>
      <c r="AG155" s="64" t="str">
        <f>集計表!AI19</f>
        <v>14</v>
      </c>
      <c r="AH155" s="64" t="str">
        <f>集計表!AJ19</f>
        <v>16</v>
      </c>
      <c r="AI155" s="64" t="str">
        <f>集計表!AK19</f>
        <v>17</v>
      </c>
      <c r="AJ155" s="64" t="str">
        <f>集計表!AL19</f>
        <v>18</v>
      </c>
      <c r="AK155" s="64" t="str">
        <f>集計表!AM19</f>
        <v>21</v>
      </c>
      <c r="AL155" s="64" t="str">
        <f>集計表!AN19</f>
        <v>23</v>
      </c>
      <c r="AM155" s="64" t="str">
        <f>集計表!AO19</f>
        <v>24</v>
      </c>
      <c r="AN155" s="64" t="str">
        <f>集計表!AP19</f>
        <v>25</v>
      </c>
      <c r="AO155" s="64" t="str">
        <f>集計表!AQ19</f>
        <v>27</v>
      </c>
      <c r="AP155" s="64" t="str">
        <f>集計表!AR19</f>
        <v>28</v>
      </c>
      <c r="AQ155" s="64" t="str">
        <f>集計表!AS19</f>
        <v>30</v>
      </c>
      <c r="AR155" s="64" t="str">
        <f>集計表!AT19</f>
        <v>31</v>
      </c>
    </row>
    <row r="156" spans="1:44" s="48" customFormat="1" x14ac:dyDescent="0.2">
      <c r="A156" s="54" t="s">
        <v>0</v>
      </c>
      <c r="B156" s="34">
        <f>IF(集計表!D21="","",集計表!D21)</f>
        <v>44.640999999999998</v>
      </c>
      <c r="C156" s="34">
        <f>IF(集計表!E21="","",集計表!E21)</f>
        <v>62.552</v>
      </c>
      <c r="D156" s="34">
        <f>IF(集計表!F21="","",集計表!F21)</f>
        <v>71.918999999999997</v>
      </c>
      <c r="E156" s="34">
        <f>IF(集計表!G21="","",集計表!G21)</f>
        <v>47.811</v>
      </c>
      <c r="F156" s="34">
        <f>IF(集計表!H21="","",集計表!H21)</f>
        <v>53.359000000000002</v>
      </c>
      <c r="G156" s="34">
        <f>IF(集計表!I21="","",集計表!I21)</f>
        <v>33.435000000000002</v>
      </c>
      <c r="H156" s="34">
        <f>IF(集計表!J21="","",集計表!J21)</f>
        <v>43.143000000000001</v>
      </c>
      <c r="I156" s="34">
        <f>IF(集計表!K21="","",集計表!K21)</f>
        <v>64.399000000000001</v>
      </c>
      <c r="J156" s="34">
        <f>IF(集計表!L21="","",集計表!L21)</f>
        <v>38.067999999999998</v>
      </c>
      <c r="K156" s="34">
        <f>IF(集計表!M21="","",集計表!M21)</f>
        <v>55.957000000000001</v>
      </c>
      <c r="L156" s="34">
        <f>IF(集計表!N21="","",集計表!N21)</f>
        <v>31.99</v>
      </c>
      <c r="M156" s="34">
        <f>IF(集計表!O21="","",集計表!O21)</f>
        <v>60.609000000000002</v>
      </c>
      <c r="N156" s="34">
        <f>IF(集計表!P21="","",集計表!P21)</f>
        <v>54.825000000000003</v>
      </c>
      <c r="O156" s="34">
        <f>IF(集計表!Q21="","",集計表!Q21)</f>
        <v>41.295999999999999</v>
      </c>
      <c r="P156" s="34">
        <f>IF(集計表!R21="","",集計表!R21)</f>
        <v>49.444000000000003</v>
      </c>
      <c r="Q156" s="34">
        <f>IF(集計表!S21="","",集計表!S21)</f>
        <v>66.802999999999997</v>
      </c>
      <c r="R156" s="34">
        <f>IF(集計表!T21="","",集計表!T21)</f>
        <v>41.915999999999997</v>
      </c>
      <c r="S156" s="34">
        <f>IF(集計表!U21="","",集計表!U21)</f>
        <v>50.999000000000002</v>
      </c>
      <c r="T156" s="34">
        <f>IF(集計表!V21="","",集計表!V21)</f>
        <v>36.765999999999998</v>
      </c>
      <c r="U156" s="34">
        <f>IF(集計表!W21="","",集計表!W21)</f>
        <v>57.384</v>
      </c>
      <c r="V156" s="34">
        <f>IF(集計表!X21="","",集計表!X21)</f>
        <v>71.733000000000004</v>
      </c>
      <c r="W156" s="34">
        <f>IF(集計表!Y21="","",集計表!Y21)</f>
        <v>57.476999999999997</v>
      </c>
      <c r="X156" s="34">
        <f>IF(集計表!Z21="","",集計表!Z21)</f>
        <v>52.497999999999998</v>
      </c>
      <c r="Y156" s="34">
        <f>IF(集計表!AA21="","",集計表!AA21)</f>
        <v>61.426000000000002</v>
      </c>
      <c r="Z156" s="34">
        <f>IF(集計表!AB21="","",集計表!AB21)</f>
        <v>59.072000000000003</v>
      </c>
      <c r="AA156" s="34">
        <f>IF(集計表!AC21="","",集計表!AC21)</f>
        <v>58.341999999999999</v>
      </c>
      <c r="AB156" s="34">
        <f>IF(集計表!AD21="","",集計表!AD21)</f>
        <v>54.567</v>
      </c>
      <c r="AC156" s="34" t="str">
        <f>IF(集計表!AE21="","",集計表!AE21)</f>
        <v/>
      </c>
      <c r="AD156" s="34" t="str">
        <f>IF(集計表!AF21="","",集計表!AF21)</f>
        <v/>
      </c>
      <c r="AE156" s="34" t="str">
        <f>IF(集計表!AG21="","",集計表!AG21)</f>
        <v/>
      </c>
      <c r="AF156" s="34" t="str">
        <f>IF(集計表!AH21="","",集計表!AH21)</f>
        <v/>
      </c>
      <c r="AG156" s="34" t="str">
        <f>IF(集計表!AI21="","",集計表!AI21)</f>
        <v/>
      </c>
      <c r="AH156" s="34" t="str">
        <f>IF(集計表!AJ21="","",集計表!AJ21)</f>
        <v/>
      </c>
      <c r="AI156" s="34" t="str">
        <f>IF(集計表!AK21="","",集計表!AK21)</f>
        <v/>
      </c>
      <c r="AJ156" s="34" t="str">
        <f>IF(集計表!AL21="","",集計表!AL21)</f>
        <v/>
      </c>
      <c r="AK156" s="34" t="str">
        <f>IF(集計表!AM21="","",集計表!AM21)</f>
        <v/>
      </c>
      <c r="AL156" s="34" t="str">
        <f>IF(集計表!AN21="","",集計表!AN21)</f>
        <v/>
      </c>
      <c r="AM156" s="34" t="str">
        <f>IF(集計表!AO21="","",集計表!AO21)</f>
        <v/>
      </c>
      <c r="AN156" s="34" t="str">
        <f>IF(集計表!AP21="","",集計表!AP21)</f>
        <v/>
      </c>
      <c r="AO156" s="34" t="str">
        <f>IF(集計表!AQ21="","",集計表!AQ21)</f>
        <v/>
      </c>
      <c r="AP156" s="34" t="str">
        <f>IF(集計表!AR21="","",集計表!AR21)</f>
        <v/>
      </c>
      <c r="AQ156" s="34" t="str">
        <f>IF(集計表!AS21="","",集計表!AS21)</f>
        <v/>
      </c>
      <c r="AR156" s="34" t="str">
        <f>IF(集計表!AT21="","",集計表!AT21)</f>
        <v/>
      </c>
    </row>
    <row r="157" spans="1:44" s="48" customFormat="1" x14ac:dyDescent="0.2">
      <c r="A157" s="54" t="s">
        <v>1</v>
      </c>
      <c r="B157" s="34">
        <f>IF(集計表!D22=0,NA(),集計表!D22)</f>
        <v>74</v>
      </c>
      <c r="C157" s="34">
        <f>IF(集計表!E22=0,NA(),集計表!E22)</f>
        <v>76</v>
      </c>
      <c r="D157" s="34">
        <f>IF(集計表!F22=0,NA(),集計表!F22)</f>
        <v>70</v>
      </c>
      <c r="E157" s="34">
        <f>IF(集計表!G22=0,NA(),集計表!G22)</f>
        <v>78</v>
      </c>
      <c r="F157" s="34">
        <f>IF(集計表!H22=0,NA(),集計表!H22)</f>
        <v>78</v>
      </c>
      <c r="G157" s="34">
        <f>IF(集計表!I22=0,NA(),集計表!I22)</f>
        <v>86</v>
      </c>
      <c r="H157" s="34">
        <f>IF(集計表!J22=0,NA(),集計表!J22)</f>
        <v>90</v>
      </c>
      <c r="I157" s="34">
        <f>IF(集計表!K22=0,NA(),集計表!K22)</f>
        <v>81</v>
      </c>
      <c r="J157" s="34">
        <f>IF(集計表!L22=0,NA(),集計表!L22)</f>
        <v>85</v>
      </c>
      <c r="K157" s="34">
        <f>IF(集計表!M22=0,NA(),集計表!M22)</f>
        <v>87</v>
      </c>
      <c r="L157" s="34">
        <f>IF(集計表!N22=0,NA(),集計表!N22)</f>
        <v>91</v>
      </c>
      <c r="M157" s="34">
        <f>IF(集計表!O22=0,NA(),集計表!O22)</f>
        <v>92</v>
      </c>
      <c r="N157" s="34">
        <f>IF(集計表!P22=0,NA(),集計表!P22)</f>
        <v>101</v>
      </c>
      <c r="O157" s="34">
        <f>IF(集計表!Q22=0,NA(),集計表!Q22)</f>
        <v>103</v>
      </c>
      <c r="P157" s="34">
        <f>IF(集計表!R22=0,NA(),集計表!R22)</f>
        <v>106</v>
      </c>
      <c r="Q157" s="34">
        <f>IF(集計表!S22=0,NA(),集計表!S22)</f>
        <v>102</v>
      </c>
      <c r="R157" s="34">
        <f>IF(集計表!T22=0,NA(),集計表!T22)</f>
        <v>101</v>
      </c>
      <c r="S157" s="34">
        <f>IF(集計表!U22=0,NA(),集計表!U22)</f>
        <v>99</v>
      </c>
      <c r="T157" s="34">
        <f>IF(集計表!V22=0,NA(),集計表!V22)</f>
        <v>99</v>
      </c>
      <c r="U157" s="34">
        <f>IF(集計表!W22=0,NA(),集計表!W22)</f>
        <v>107</v>
      </c>
      <c r="V157" s="34">
        <f>IF(集計表!X22=0,NA(),集計表!X22)</f>
        <v>115</v>
      </c>
      <c r="W157" s="34">
        <f>IF(集計表!Y22=0,NA(),集計表!Y22)</f>
        <v>117</v>
      </c>
      <c r="X157" s="34">
        <f>IF(集計表!Z22=0,NA(),集計表!Z22)</f>
        <v>117</v>
      </c>
      <c r="Y157" s="34">
        <f>IF(集計表!AA22=0,NA(),集計表!AA22)</f>
        <v>128</v>
      </c>
      <c r="Z157" s="34">
        <f>IF(集計表!AB22=0,NA(),集計表!AB22)</f>
        <v>120</v>
      </c>
      <c r="AA157" s="34">
        <f>IF(集計表!AC22=0,NA(),集計表!AC22)</f>
        <v>124</v>
      </c>
      <c r="AB157" s="34">
        <f>IF(集計表!AD22=0,NA(),集計表!AD22)</f>
        <v>120</v>
      </c>
      <c r="AC157" s="34" t="e">
        <f>IF(集計表!AE22=0,NA(),集計表!AE22)</f>
        <v>#N/A</v>
      </c>
      <c r="AD157" s="34" t="e">
        <f>IF(集計表!AF22=0,NA(),集計表!AF22)</f>
        <v>#N/A</v>
      </c>
      <c r="AE157" s="34" t="e">
        <f>IF(集計表!AG22=0,NA(),集計表!AG22)</f>
        <v>#N/A</v>
      </c>
      <c r="AF157" s="34" t="e">
        <f>IF(集計表!AH22=0,NA(),集計表!AH22)</f>
        <v>#N/A</v>
      </c>
      <c r="AG157" s="34" t="e">
        <f>IF(集計表!AI22=0,NA(),集計表!AI22)</f>
        <v>#N/A</v>
      </c>
      <c r="AH157" s="34" t="e">
        <f>IF(集計表!AJ22=0,NA(),集計表!AJ22)</f>
        <v>#N/A</v>
      </c>
      <c r="AI157" s="34" t="e">
        <f>IF(集計表!AK22=0,NA(),集計表!AK22)</f>
        <v>#N/A</v>
      </c>
      <c r="AJ157" s="34" t="e">
        <f>IF(集計表!AL22=0,NA(),集計表!AL22)</f>
        <v>#N/A</v>
      </c>
      <c r="AK157" s="34" t="e">
        <f>IF(集計表!AM22=0,NA(),集計表!AM22)</f>
        <v>#N/A</v>
      </c>
      <c r="AL157" s="34" t="e">
        <f>IF(集計表!AN22=0,NA(),集計表!AN22)</f>
        <v>#N/A</v>
      </c>
      <c r="AM157" s="34" t="e">
        <f>IF(集計表!AO22=0,NA(),集計表!AO22)</f>
        <v>#N/A</v>
      </c>
      <c r="AN157" s="34" t="e">
        <f>IF(集計表!AP22=0,NA(),集計表!AP22)</f>
        <v>#N/A</v>
      </c>
      <c r="AO157" s="34" t="e">
        <f>IF(集計表!AQ22=0,NA(),集計表!AQ22)</f>
        <v>#N/A</v>
      </c>
      <c r="AP157" s="34" t="e">
        <f>IF(集計表!AR22=0,NA(),集計表!AR22)</f>
        <v>#N/A</v>
      </c>
      <c r="AQ157" s="34" t="e">
        <f>IF(集計表!AS22=0,NA(),集計表!AS22)</f>
        <v>#N/A</v>
      </c>
      <c r="AR157" s="34" t="e">
        <f>IF(集計表!AT22=0,NA(),集計表!AT22)</f>
        <v>#N/A</v>
      </c>
    </row>
    <row r="158" spans="1:44" s="48" customFormat="1" x14ac:dyDescent="0.2">
      <c r="A158" s="54" t="s">
        <v>2</v>
      </c>
      <c r="B158" s="34">
        <f>集計表!D23</f>
        <v>82</v>
      </c>
      <c r="C158" s="34">
        <f>集計表!E23</f>
        <v>82</v>
      </c>
      <c r="D158" s="34">
        <f>集計表!F23</f>
        <v>82</v>
      </c>
      <c r="E158" s="34">
        <f>集計表!G23</f>
        <v>82</v>
      </c>
      <c r="F158" s="34">
        <f>集計表!H23</f>
        <v>82</v>
      </c>
      <c r="G158" s="34">
        <f>集計表!I23</f>
        <v>82</v>
      </c>
      <c r="H158" s="34">
        <f>集計表!J23</f>
        <v>82</v>
      </c>
      <c r="I158" s="34">
        <f>集計表!K23</f>
        <v>82</v>
      </c>
      <c r="J158" s="34">
        <f>集計表!L23</f>
        <v>82</v>
      </c>
      <c r="K158" s="34">
        <f>集計表!M23</f>
        <v>82</v>
      </c>
      <c r="L158" s="34">
        <f>集計表!N23</f>
        <v>82</v>
      </c>
      <c r="M158" s="34">
        <f>集計表!O23</f>
        <v>82</v>
      </c>
      <c r="N158" s="34">
        <f>集計表!P23</f>
        <v>82</v>
      </c>
      <c r="O158" s="34">
        <f>集計表!Q23</f>
        <v>82</v>
      </c>
      <c r="P158" s="34">
        <f>集計表!R23</f>
        <v>82</v>
      </c>
      <c r="Q158" s="34">
        <f>集計表!S23</f>
        <v>79</v>
      </c>
      <c r="R158" s="34">
        <f>集計表!T23</f>
        <v>79</v>
      </c>
      <c r="S158" s="34">
        <f>集計表!U23</f>
        <v>79</v>
      </c>
      <c r="T158" s="34">
        <f>集計表!V23</f>
        <v>79</v>
      </c>
      <c r="U158" s="34">
        <f>集計表!W23</f>
        <v>79</v>
      </c>
      <c r="V158" s="34">
        <f>集計表!X23</f>
        <v>79</v>
      </c>
      <c r="W158" s="34">
        <f>集計表!Y23</f>
        <v>79</v>
      </c>
      <c r="X158" s="34">
        <f>集計表!Z23</f>
        <v>85</v>
      </c>
      <c r="Y158" s="34">
        <f>集計表!AA23</f>
        <v>85</v>
      </c>
      <c r="Z158" s="34">
        <f>集計表!AB23</f>
        <v>85</v>
      </c>
      <c r="AA158" s="34">
        <f>集計表!AC23</f>
        <v>85</v>
      </c>
      <c r="AB158" s="34">
        <f>集計表!AD23</f>
        <v>85</v>
      </c>
      <c r="AC158" s="34">
        <f>集計表!AE23</f>
        <v>85</v>
      </c>
      <c r="AD158" s="34">
        <f>集計表!AF23</f>
        <v>85</v>
      </c>
      <c r="AE158" s="34">
        <f>集計表!AG23</f>
        <v>86</v>
      </c>
      <c r="AF158" s="34">
        <f>集計表!AH23</f>
        <v>86</v>
      </c>
      <c r="AG158" s="34">
        <f>集計表!AI23</f>
        <v>86</v>
      </c>
      <c r="AH158" s="34">
        <f>集計表!AJ23</f>
        <v>86</v>
      </c>
      <c r="AI158" s="34">
        <f>集計表!AK23</f>
        <v>86</v>
      </c>
      <c r="AJ158" s="34">
        <f>集計表!AL23</f>
        <v>86</v>
      </c>
      <c r="AK158" s="34">
        <f>集計表!AM23</f>
        <v>76</v>
      </c>
      <c r="AL158" s="34">
        <f>集計表!AN23</f>
        <v>76</v>
      </c>
      <c r="AM158" s="34">
        <f>集計表!AO23</f>
        <v>76</v>
      </c>
      <c r="AN158" s="34">
        <f>集計表!AP23</f>
        <v>76</v>
      </c>
      <c r="AO158" s="34">
        <f>集計表!AQ23</f>
        <v>76</v>
      </c>
      <c r="AP158" s="34">
        <f>集計表!AR23</f>
        <v>76</v>
      </c>
      <c r="AQ158" s="34">
        <f>集計表!AS23</f>
        <v>76</v>
      </c>
      <c r="AR158" s="34">
        <f>集計表!AT23</f>
        <v>76</v>
      </c>
    </row>
    <row r="159" spans="1:44" ht="13.5" customHeight="1" x14ac:dyDescent="0.2">
      <c r="A159" s="55" t="s">
        <v>20</v>
      </c>
      <c r="B159" s="56">
        <f>IFERROR(B157/B158, "")</f>
        <v>0.90243902439024393</v>
      </c>
      <c r="C159" s="56">
        <f t="shared" ref="C159:AM159" si="12">IFERROR(C157/C158, "")</f>
        <v>0.92682926829268297</v>
      </c>
      <c r="D159" s="56">
        <f t="shared" si="12"/>
        <v>0.85365853658536583</v>
      </c>
      <c r="E159" s="56">
        <f t="shared" si="12"/>
        <v>0.95121951219512191</v>
      </c>
      <c r="F159" s="57">
        <f t="shared" si="12"/>
        <v>0.95121951219512191</v>
      </c>
      <c r="G159" s="57">
        <f t="shared" si="12"/>
        <v>1.0487804878048781</v>
      </c>
      <c r="H159" s="57">
        <f t="shared" si="12"/>
        <v>1.0975609756097562</v>
      </c>
      <c r="I159" s="57">
        <f t="shared" si="12"/>
        <v>0.98780487804878048</v>
      </c>
      <c r="J159" s="57">
        <f t="shared" si="12"/>
        <v>1.0365853658536586</v>
      </c>
      <c r="K159" s="57">
        <f t="shared" si="12"/>
        <v>1.0609756097560976</v>
      </c>
      <c r="L159" s="57">
        <f t="shared" si="12"/>
        <v>1.1097560975609757</v>
      </c>
      <c r="M159" s="57">
        <f t="shared" si="12"/>
        <v>1.1219512195121952</v>
      </c>
      <c r="N159" s="57">
        <f t="shared" si="12"/>
        <v>1.2317073170731707</v>
      </c>
      <c r="O159" s="57">
        <f t="shared" si="12"/>
        <v>1.2560975609756098</v>
      </c>
      <c r="P159" s="57">
        <f t="shared" si="12"/>
        <v>1.2926829268292683</v>
      </c>
      <c r="Q159" s="56">
        <f t="shared" si="12"/>
        <v>1.2911392405063291</v>
      </c>
      <c r="R159" s="57">
        <f t="shared" si="12"/>
        <v>1.2784810126582278</v>
      </c>
      <c r="S159" s="56">
        <f t="shared" si="12"/>
        <v>1.2531645569620253</v>
      </c>
      <c r="T159" s="56">
        <f t="shared" si="12"/>
        <v>1.2531645569620253</v>
      </c>
      <c r="U159" s="56">
        <f t="shared" si="12"/>
        <v>1.3544303797468353</v>
      </c>
      <c r="V159" s="56">
        <f t="shared" si="12"/>
        <v>1.4556962025316456</v>
      </c>
      <c r="W159" s="56">
        <f t="shared" si="12"/>
        <v>1.481012658227848</v>
      </c>
      <c r="X159" s="57">
        <f t="shared" si="12"/>
        <v>1.3764705882352941</v>
      </c>
      <c r="Y159" s="56">
        <f t="shared" si="12"/>
        <v>1.5058823529411764</v>
      </c>
      <c r="Z159" s="57">
        <f t="shared" si="12"/>
        <v>1.411764705882353</v>
      </c>
      <c r="AA159" s="57">
        <f t="shared" si="12"/>
        <v>1.4588235294117646</v>
      </c>
      <c r="AB159" s="57">
        <f t="shared" si="12"/>
        <v>1.411764705882353</v>
      </c>
      <c r="AC159" s="57" t="str">
        <f t="shared" si="12"/>
        <v/>
      </c>
      <c r="AD159" s="56" t="str">
        <f t="shared" si="12"/>
        <v/>
      </c>
      <c r="AE159" s="57" t="str">
        <f t="shared" si="12"/>
        <v/>
      </c>
      <c r="AF159" s="57" t="str">
        <f t="shared" si="12"/>
        <v/>
      </c>
      <c r="AG159" s="57" t="str">
        <f t="shared" si="12"/>
        <v/>
      </c>
      <c r="AH159" s="57" t="str">
        <f t="shared" si="12"/>
        <v/>
      </c>
      <c r="AI159" s="57" t="str">
        <f t="shared" si="12"/>
        <v/>
      </c>
      <c r="AJ159" s="57" t="str">
        <f t="shared" si="12"/>
        <v/>
      </c>
      <c r="AK159" s="56" t="str">
        <f t="shared" si="12"/>
        <v/>
      </c>
      <c r="AL159" s="56" t="str">
        <f t="shared" si="12"/>
        <v/>
      </c>
      <c r="AM159" s="57" t="str">
        <f t="shared" si="12"/>
        <v/>
      </c>
      <c r="AN159" s="56" t="str">
        <f t="shared" ref="AN159:AO159" si="13">IFERROR(AN157/AN158, "")</f>
        <v/>
      </c>
      <c r="AO159" s="57" t="str">
        <f t="shared" si="13"/>
        <v/>
      </c>
      <c r="AP159" s="57" t="str">
        <f t="shared" ref="AP159:AQ159" si="14">IFERROR(AP157/AP158, "")</f>
        <v/>
      </c>
      <c r="AQ159" s="57" t="str">
        <f t="shared" si="14"/>
        <v/>
      </c>
      <c r="AR159" s="57" t="str">
        <f t="shared" ref="AR159" si="15">IFERROR(AR157/AR158, "")</f>
        <v/>
      </c>
    </row>
    <row r="160" spans="1:44" s="38" customFormat="1" ht="22.5" customHeight="1" x14ac:dyDescent="0.2">
      <c r="A160" s="38" t="s">
        <v>24</v>
      </c>
      <c r="B160" s="39"/>
      <c r="C160" s="39"/>
      <c r="D160" s="40"/>
      <c r="E160" s="39"/>
      <c r="F160" s="41"/>
      <c r="G160" s="39"/>
      <c r="H160" s="39"/>
      <c r="I160" s="39"/>
      <c r="J160" s="39"/>
      <c r="K160" s="42"/>
      <c r="L160" s="39"/>
      <c r="M160" s="42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</row>
  </sheetData>
  <phoneticPr fontId="5"/>
  <conditionalFormatting sqref="B36">
    <cfRule type="expression" dxfId="9" priority="53" stopIfTrue="1">
      <formula>ISERROR(B36)</formula>
    </cfRule>
  </conditionalFormatting>
  <conditionalFormatting sqref="B76">
    <cfRule type="expression" dxfId="8" priority="52" stopIfTrue="1">
      <formula>ISERROR(B76)</formula>
    </cfRule>
  </conditionalFormatting>
  <conditionalFormatting sqref="B116">
    <cfRule type="expression" dxfId="7" priority="51" stopIfTrue="1">
      <formula>ISERROR(B116)</formula>
    </cfRule>
  </conditionalFormatting>
  <conditionalFormatting sqref="B156">
    <cfRule type="expression" dxfId="6" priority="50" stopIfTrue="1">
      <formula>ISERROR(B156)</formula>
    </cfRule>
  </conditionalFormatting>
  <conditionalFormatting sqref="B37:AR37 B77:AR77 B117:AR117 B157:AR157">
    <cfRule type="expression" dxfId="5" priority="57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4" orientation="landscape" r:id="rId1"/>
  <rowBreaks count="3" manualBreakCount="3">
    <brk id="40" max="46" man="1"/>
    <brk id="80" max="46" man="1"/>
    <brk id="12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S160"/>
  <sheetViews>
    <sheetView showGridLines="0" tabSelected="1" zoomScale="90" zoomScaleNormal="90" zoomScaleSheetLayoutView="80" workbookViewId="0"/>
  </sheetViews>
  <sheetFormatPr defaultRowHeight="13.2" x14ac:dyDescent="0.2"/>
  <cols>
    <col min="1" max="1" width="11.109375" bestFit="1" customWidth="1"/>
    <col min="2" max="36" width="4.109375" style="1" customWidth="1"/>
    <col min="37" max="37" width="4" style="1" customWidth="1"/>
    <col min="38" max="44" width="4.109375" style="1" customWidth="1"/>
    <col min="45" max="45" width="4.33203125" customWidth="1"/>
    <col min="46" max="46" width="3.6640625" customWidth="1"/>
  </cols>
  <sheetData>
    <row r="1" spans="1:14" ht="15" customHeight="1" x14ac:dyDescent="0.2">
      <c r="A1" s="23" t="s">
        <v>11</v>
      </c>
      <c r="B1" s="13"/>
      <c r="C1" s="13"/>
      <c r="D1" s="13"/>
      <c r="E1" s="13"/>
      <c r="F1" s="13"/>
      <c r="G1" s="13"/>
      <c r="H1" s="13"/>
      <c r="I1" s="13"/>
      <c r="J1" s="13"/>
      <c r="L1" s="13" t="str">
        <f>TEXT(集計表!$C$1,"(e.m/d～)")</f>
        <v>(8.6/1～)</v>
      </c>
      <c r="M1" s="13"/>
      <c r="N1" s="13"/>
    </row>
    <row r="2" spans="1:14" ht="15" customHeight="1" x14ac:dyDescent="0.2">
      <c r="A2" s="23" t="s">
        <v>16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3.5" customHeight="1" x14ac:dyDescent="0.2"/>
    <row r="5" spans="1:14" ht="13.5" customHeight="1" x14ac:dyDescent="0.2"/>
    <row r="6" spans="1:14" ht="13.5" customHeight="1" x14ac:dyDescent="0.2"/>
    <row r="7" spans="1:14" ht="13.5" customHeight="1" x14ac:dyDescent="0.2"/>
    <row r="8" spans="1:14" ht="13.5" customHeight="1" x14ac:dyDescent="0.2"/>
    <row r="9" spans="1:14" ht="13.5" customHeight="1" x14ac:dyDescent="0.2"/>
    <row r="10" spans="1:14" ht="13.5" customHeight="1" x14ac:dyDescent="0.2"/>
    <row r="11" spans="1:14" ht="13.5" customHeight="1" x14ac:dyDescent="0.2"/>
    <row r="12" spans="1:14" ht="13.5" customHeight="1" x14ac:dyDescent="0.2"/>
    <row r="13" spans="1:14" ht="13.5" customHeight="1" x14ac:dyDescent="0.2"/>
    <row r="14" spans="1:14" ht="13.5" customHeight="1" x14ac:dyDescent="0.2"/>
    <row r="15" spans="1:14" ht="13.5" customHeight="1" x14ac:dyDescent="0.2"/>
    <row r="16" spans="1:14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spans="1:44" ht="13.5" customHeight="1" x14ac:dyDescent="0.2">
      <c r="AJ33" s="2"/>
      <c r="AK33" s="2"/>
      <c r="AL33" s="2"/>
      <c r="AM33" s="2"/>
      <c r="AN33" s="2"/>
      <c r="AO33" s="2"/>
      <c r="AP33" s="2"/>
      <c r="AQ33" s="2"/>
      <c r="AR33" s="2"/>
    </row>
    <row r="34" spans="1:44" s="46" customFormat="1" ht="15.9" customHeight="1" x14ac:dyDescent="0.2">
      <c r="B34" s="45"/>
      <c r="C34" s="45"/>
      <c r="D34" s="4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4"/>
      <c r="S34" s="45"/>
      <c r="T34" s="45"/>
      <c r="U34" s="45"/>
      <c r="V34" s="45"/>
      <c r="W34" s="44"/>
      <c r="X34" s="45"/>
      <c r="Y34" s="45"/>
      <c r="Z34" s="45"/>
      <c r="AA34" s="44"/>
      <c r="AB34" s="45"/>
      <c r="AC34" s="45"/>
      <c r="AD34" s="45"/>
      <c r="AE34" s="45"/>
      <c r="AF34" s="45"/>
      <c r="AG34" s="45"/>
      <c r="AH34" s="45"/>
      <c r="AI34" s="45"/>
      <c r="AJ34" s="49"/>
      <c r="AM34" s="45"/>
      <c r="AN34" s="49"/>
      <c r="AO34" s="45"/>
      <c r="AP34" s="45"/>
      <c r="AQ34" s="45"/>
      <c r="AR34" s="45"/>
    </row>
    <row r="35" spans="1:44" ht="13.5" customHeight="1" x14ac:dyDescent="0.2">
      <c r="A35" s="50">
        <f>集計表!C27</f>
        <v>46174</v>
      </c>
      <c r="B35" s="51" t="str">
        <f>集計表!D27</f>
        <v>6/1</v>
      </c>
      <c r="C35" s="58" t="str">
        <f>集計表!E27</f>
        <v>2</v>
      </c>
      <c r="D35" s="58" t="str">
        <f>集計表!F27</f>
        <v>4</v>
      </c>
      <c r="E35" s="58" t="str">
        <f>集計表!G27</f>
        <v>5</v>
      </c>
      <c r="F35" s="51" t="str">
        <f>集計表!H27</f>
        <v>6</v>
      </c>
      <c r="G35" s="51" t="str">
        <f>集計表!I27</f>
        <v>8</v>
      </c>
      <c r="H35" s="58" t="str">
        <f>集計表!J27</f>
        <v>9</v>
      </c>
      <c r="I35" s="51" t="str">
        <f>集計表!K27</f>
        <v>11</v>
      </c>
      <c r="J35" s="51" t="str">
        <f>集計表!L27</f>
        <v>12</v>
      </c>
      <c r="K35" s="51" t="str">
        <f>集計表!M27</f>
        <v>13</v>
      </c>
      <c r="L35" s="51" t="str">
        <f>集計表!N27</f>
        <v>15</v>
      </c>
      <c r="M35" s="51" t="str">
        <f>集計表!O27</f>
        <v>16</v>
      </c>
      <c r="N35" s="51" t="str">
        <f>集計表!P27</f>
        <v>18</v>
      </c>
      <c r="O35" s="51" t="str">
        <f>集計表!Q27</f>
        <v>19</v>
      </c>
      <c r="P35" s="51" t="str">
        <f>集計表!R27</f>
        <v>20</v>
      </c>
      <c r="Q35" s="59" t="str">
        <f>集計表!S27</f>
        <v>22</v>
      </c>
      <c r="R35" s="59" t="str">
        <f>集計表!T27</f>
        <v>23</v>
      </c>
      <c r="S35" s="60" t="str">
        <f>集計表!U27</f>
        <v>25</v>
      </c>
      <c r="T35" s="60" t="str">
        <f>集計表!V27</f>
        <v>26</v>
      </c>
      <c r="U35" s="59" t="str">
        <f>集計表!W27</f>
        <v>27</v>
      </c>
      <c r="V35" s="60" t="str">
        <f>集計表!X27</f>
        <v>29</v>
      </c>
      <c r="W35" s="59" t="str">
        <f>集計表!Y27</f>
        <v>30</v>
      </c>
      <c r="X35" s="61" t="str">
        <f>集計表!Z27</f>
        <v>7/2</v>
      </c>
      <c r="Y35" s="61" t="str">
        <f>集計表!AA27</f>
        <v>3</v>
      </c>
      <c r="Z35" s="61" t="str">
        <f>集計表!AB27</f>
        <v>4</v>
      </c>
      <c r="AA35" s="62" t="str">
        <f>集計表!AC27</f>
        <v>6</v>
      </c>
      <c r="AB35" s="62" t="str">
        <f>集計表!AD27</f>
        <v>7</v>
      </c>
      <c r="AC35" s="61" t="str">
        <f>集計表!AE27</f>
        <v>9</v>
      </c>
      <c r="AD35" s="62" t="str">
        <f>集計表!AF27</f>
        <v>10</v>
      </c>
      <c r="AE35" s="62" t="str">
        <f>集計表!AG27</f>
        <v>11</v>
      </c>
      <c r="AF35" s="62" t="str">
        <f>集計表!AH27</f>
        <v>13</v>
      </c>
      <c r="AG35" s="62" t="str">
        <f>集計表!AI27</f>
        <v>14</v>
      </c>
      <c r="AH35" s="62" t="str">
        <f>集計表!AJ27</f>
        <v>16</v>
      </c>
      <c r="AI35" s="62" t="str">
        <f>集計表!AK27</f>
        <v>17</v>
      </c>
      <c r="AJ35" s="62" t="str">
        <f>集計表!AL27</f>
        <v>18</v>
      </c>
      <c r="AK35" s="61" t="str">
        <f>集計表!AM27</f>
        <v>21</v>
      </c>
      <c r="AL35" s="61" t="str">
        <f>集計表!AN27</f>
        <v>23</v>
      </c>
      <c r="AM35" s="62" t="str">
        <f>集計表!AO27</f>
        <v>24</v>
      </c>
      <c r="AN35" s="61" t="str">
        <f>集計表!AP27</f>
        <v>25</v>
      </c>
      <c r="AO35" s="62" t="str">
        <f>集計表!AQ27</f>
        <v>27</v>
      </c>
      <c r="AP35" s="62" t="str">
        <f>集計表!AR27</f>
        <v>28</v>
      </c>
      <c r="AQ35" s="62" t="str">
        <f>集計表!AS27</f>
        <v>30</v>
      </c>
      <c r="AR35" s="62" t="str">
        <f>集計表!AT27</f>
        <v>31</v>
      </c>
    </row>
    <row r="36" spans="1:44" ht="13.5" customHeight="1" x14ac:dyDescent="0.2">
      <c r="A36" s="54" t="s">
        <v>0</v>
      </c>
      <c r="B36" s="34">
        <f>IF(集計表!D29="","",集計表!D29)</f>
        <v>234.441</v>
      </c>
      <c r="C36" s="34">
        <f>IF(集計表!E29="","",集計表!E29)</f>
        <v>229.88200000000001</v>
      </c>
      <c r="D36" s="34">
        <f>IF(集計表!F29="","",集計表!F29)</f>
        <v>270.47500000000002</v>
      </c>
      <c r="E36" s="34">
        <f>IF(集計表!G29="","",集計表!G29)</f>
        <v>138.726</v>
      </c>
      <c r="F36" s="34">
        <f>IF(集計表!H29="","",集計表!H29)</f>
        <v>196.738</v>
      </c>
      <c r="G36" s="34">
        <f>IF(集計表!I29="","",集計表!I29)</f>
        <v>203.14099999999999</v>
      </c>
      <c r="H36" s="34">
        <f>IF(集計表!J29="","",集計表!J29)</f>
        <v>248.72800000000001</v>
      </c>
      <c r="I36" s="34">
        <f>IF(集計表!K29="","",集計表!K29)</f>
        <v>194.99</v>
      </c>
      <c r="J36" s="34">
        <f>IF(集計表!L29="","",集計表!L29)</f>
        <v>226.15600000000001</v>
      </c>
      <c r="K36" s="34">
        <f>IF(集計表!M29="","",集計表!M29)</f>
        <v>254.203</v>
      </c>
      <c r="L36" s="34">
        <f>IF(集計表!N29="","",集計表!N29)</f>
        <v>261.952</v>
      </c>
      <c r="M36" s="34">
        <f>IF(集計表!O29="","",集計表!O29)</f>
        <v>234.196</v>
      </c>
      <c r="N36" s="34">
        <f>IF(集計表!P29="","",集計表!P29)</f>
        <v>233.738</v>
      </c>
      <c r="O36" s="34">
        <f>IF(集計表!Q29="","",集計表!Q29)</f>
        <v>254.42099999999999</v>
      </c>
      <c r="P36" s="36">
        <f>IF(集計表!R29="","",集計表!R29)</f>
        <v>173.15600000000001</v>
      </c>
      <c r="Q36" s="34">
        <f>IF(集計表!S29="","",集計表!S29)</f>
        <v>292.13299999999998</v>
      </c>
      <c r="R36" s="34">
        <f>IF(集計表!T29="","",集計表!T29)</f>
        <v>208.07499999999999</v>
      </c>
      <c r="S36" s="34">
        <f>IF(集計表!U29="","",集計表!U29)</f>
        <v>277.053</v>
      </c>
      <c r="T36" s="34">
        <f>IF(集計表!V29="","",集計表!V29)</f>
        <v>220.27500000000001</v>
      </c>
      <c r="U36" s="34">
        <f>IF(集計表!W29="","",集計表!W29)</f>
        <v>242.22900000000001</v>
      </c>
      <c r="V36" s="34">
        <f>IF(集計表!X29="","",集計表!X29)</f>
        <v>244.36099999999999</v>
      </c>
      <c r="W36" s="34">
        <f>IF(集計表!Y29="","",集計表!Y29)</f>
        <v>193.92699999999999</v>
      </c>
      <c r="X36" s="34">
        <f>IF(集計表!Z29="","",集計表!Z29)</f>
        <v>245.42400000000001</v>
      </c>
      <c r="Y36" s="34">
        <f>IF(集計表!AA29="","",集計表!AA29)</f>
        <v>225.84899999999999</v>
      </c>
      <c r="Z36" s="34">
        <f>IF(集計表!AB29="","",集計表!AB29)</f>
        <v>268.22300000000001</v>
      </c>
      <c r="AA36" s="34">
        <f>IF(集計表!AC29="","",集計表!AC29)</f>
        <v>288.68700000000001</v>
      </c>
      <c r="AB36" s="34">
        <f>IF(集計表!AD29="","",集計表!AD29)</f>
        <v>284.60300000000001</v>
      </c>
      <c r="AC36" s="34" t="str">
        <f>IF(集計表!AE29="","",集計表!AE29)</f>
        <v/>
      </c>
      <c r="AD36" s="34" t="str">
        <f>IF(集計表!AF29="","",集計表!AF29)</f>
        <v/>
      </c>
      <c r="AE36" s="34" t="str">
        <f>IF(集計表!AG29="","",集計表!AG29)</f>
        <v/>
      </c>
      <c r="AF36" s="34" t="str">
        <f>IF(集計表!AH29="","",集計表!AH29)</f>
        <v/>
      </c>
      <c r="AG36" s="34" t="str">
        <f>IF(集計表!AI29="","",集計表!AI29)</f>
        <v/>
      </c>
      <c r="AH36" s="34" t="str">
        <f>IF(集計表!AJ29="","",集計表!AJ29)</f>
        <v/>
      </c>
      <c r="AI36" s="34" t="str">
        <f>IF(集計表!AK29="","",集計表!AK29)</f>
        <v/>
      </c>
      <c r="AJ36" s="34" t="str">
        <f>IF(集計表!AL29="","",集計表!AL29)</f>
        <v/>
      </c>
      <c r="AK36" s="34" t="str">
        <f>IF(集計表!AM29="","",集計表!AM29)</f>
        <v/>
      </c>
      <c r="AL36" s="34" t="str">
        <f>IF(集計表!AN29="","",集計表!AN29)</f>
        <v/>
      </c>
      <c r="AM36" s="34" t="str">
        <f>IF(集計表!AO29="","",集計表!AO29)</f>
        <v/>
      </c>
      <c r="AN36" s="34" t="str">
        <f>IF(集計表!AP29="","",集計表!AP29)</f>
        <v/>
      </c>
      <c r="AO36" s="34" t="str">
        <f>IF(集計表!AQ29="","",集計表!AQ29)</f>
        <v/>
      </c>
      <c r="AP36" s="34" t="str">
        <f>IF(集計表!AR29="","",集計表!AR29)</f>
        <v/>
      </c>
      <c r="AQ36" s="34" t="str">
        <f>IF(集計表!AS29="","",集計表!AS29)</f>
        <v/>
      </c>
      <c r="AR36" s="34" t="str">
        <f>IF(集計表!AT29="","",集計表!AT29)</f>
        <v/>
      </c>
    </row>
    <row r="37" spans="1:44" ht="13.5" customHeight="1" x14ac:dyDescent="0.2">
      <c r="A37" s="54" t="s">
        <v>1</v>
      </c>
      <c r="B37" s="34">
        <f>IF(集計表!D30=0,NA(),集計表!D30)</f>
        <v>164</v>
      </c>
      <c r="C37" s="34">
        <f>IF(集計表!E30=0,NA(),集計表!E30)</f>
        <v>165</v>
      </c>
      <c r="D37" s="34">
        <f>IF(集計表!F30=0,NA(),集計表!F30)</f>
        <v>166</v>
      </c>
      <c r="E37" s="34">
        <f>IF(集計表!G30=0,NA(),集計表!G30)</f>
        <v>169</v>
      </c>
      <c r="F37" s="34">
        <f>IF(集計表!H30=0,NA(),集計表!H30)</f>
        <v>167</v>
      </c>
      <c r="G37" s="34">
        <f>IF(集計表!I30=0,NA(),集計表!I30)</f>
        <v>169</v>
      </c>
      <c r="H37" s="34">
        <f>IF(集計表!J30=0,NA(),集計表!J30)</f>
        <v>173</v>
      </c>
      <c r="I37" s="34">
        <f>IF(集計表!K30=0,NA(),集計表!K30)</f>
        <v>172</v>
      </c>
      <c r="J37" s="34">
        <f>IF(集計表!L30=0,NA(),集計表!L30)</f>
        <v>170</v>
      </c>
      <c r="K37" s="34">
        <f>IF(集計表!M30=0,NA(),集計表!M30)</f>
        <v>169</v>
      </c>
      <c r="L37" s="34">
        <f>IF(集計表!N30=0,NA(),集計表!N30)</f>
        <v>171</v>
      </c>
      <c r="M37" s="34">
        <f>IF(集計表!O30=0,NA(),集計表!O30)</f>
        <v>168</v>
      </c>
      <c r="N37" s="34">
        <f>IF(集計表!P30=0,NA(),集計表!P30)</f>
        <v>167</v>
      </c>
      <c r="O37" s="34">
        <f>IF(集計表!Q30=0,NA(),集計表!Q30)</f>
        <v>164</v>
      </c>
      <c r="P37" s="36">
        <f>IF(集計表!R30=0,NA(),集計表!R30)</f>
        <v>170</v>
      </c>
      <c r="Q37" s="34">
        <f>IF(集計表!S30=0,NA(),集計表!S30)</f>
        <v>158</v>
      </c>
      <c r="R37" s="34">
        <f>IF(集計表!T30=0,NA(),集計表!T30)</f>
        <v>166</v>
      </c>
      <c r="S37" s="34">
        <f>IF(集計表!U30=0,NA(),集計表!U30)</f>
        <v>158</v>
      </c>
      <c r="T37" s="34">
        <f>IF(集計表!V30=0,NA(),集計表!V30)</f>
        <v>171</v>
      </c>
      <c r="U37" s="34">
        <f>IF(集計表!W30=0,NA(),集計表!W30)</f>
        <v>168</v>
      </c>
      <c r="V37" s="34">
        <f>IF(集計表!X30=0,NA(),集計表!X30)</f>
        <v>159</v>
      </c>
      <c r="W37" s="34">
        <f>IF(集計表!Y30=0,NA(),集計表!Y30)</f>
        <v>173</v>
      </c>
      <c r="X37" s="34">
        <f>IF(集計表!Z30=0,NA(),集計表!Z30)</f>
        <v>158</v>
      </c>
      <c r="Y37" s="34">
        <f>IF(集計表!AA30=0,NA(),集計表!AA30)</f>
        <v>156</v>
      </c>
      <c r="Z37" s="34">
        <f>IF(集計表!AB30=0,NA(),集計表!AB30)</f>
        <v>164</v>
      </c>
      <c r="AA37" s="34">
        <f>IF(集計表!AC30=0,NA(),集計表!AC30)</f>
        <v>162</v>
      </c>
      <c r="AB37" s="34">
        <f>IF(集計表!AD30=0,NA(),集計表!AD30)</f>
        <v>158</v>
      </c>
      <c r="AC37" s="34" t="e">
        <f>IF(集計表!AE30=0,NA(),集計表!AE30)</f>
        <v>#N/A</v>
      </c>
      <c r="AD37" s="34" t="e">
        <f>IF(集計表!AF30=0,NA(),集計表!AF30)</f>
        <v>#N/A</v>
      </c>
      <c r="AE37" s="34" t="e">
        <f>IF(集計表!AG30=0,NA(),集計表!AG30)</f>
        <v>#N/A</v>
      </c>
      <c r="AF37" s="34" t="e">
        <f>IF(集計表!AH30=0,NA(),集計表!AH30)</f>
        <v>#N/A</v>
      </c>
      <c r="AG37" s="34" t="e">
        <f>IF(集計表!AI30=0,NA(),集計表!AI30)</f>
        <v>#N/A</v>
      </c>
      <c r="AH37" s="34" t="e">
        <f>IF(集計表!AJ30=0,NA(),集計表!AJ30)</f>
        <v>#N/A</v>
      </c>
      <c r="AI37" s="34" t="e">
        <f>IF(集計表!AK30=0,NA(),集計表!AK30)</f>
        <v>#N/A</v>
      </c>
      <c r="AJ37" s="34" t="e">
        <f>IF(集計表!AL30=0,NA(),集計表!AL30)</f>
        <v>#N/A</v>
      </c>
      <c r="AK37" s="34" t="e">
        <f>IF(集計表!AM30=0,NA(),集計表!AM30)</f>
        <v>#N/A</v>
      </c>
      <c r="AL37" s="34" t="e">
        <f>IF(集計表!AN30=0,NA(),集計表!AN30)</f>
        <v>#N/A</v>
      </c>
      <c r="AM37" s="34" t="e">
        <f>IF(集計表!AO30=0,NA(),集計表!AO30)</f>
        <v>#N/A</v>
      </c>
      <c r="AN37" s="34" t="e">
        <f>IF(集計表!AP30=0,NA(),集計表!AP30)</f>
        <v>#N/A</v>
      </c>
      <c r="AO37" s="34" t="e">
        <f>IF(集計表!AQ30=0,NA(),集計表!AQ30)</f>
        <v>#N/A</v>
      </c>
      <c r="AP37" s="34" t="e">
        <f>IF(集計表!AR30=0,NA(),集計表!AR30)</f>
        <v>#N/A</v>
      </c>
      <c r="AQ37" s="34" t="e">
        <f>IF(集計表!AS30=0,NA(),集計表!AS30)</f>
        <v>#N/A</v>
      </c>
      <c r="AR37" s="34" t="e">
        <f>IF(集計表!AT30=0,NA(),集計表!AT30)</f>
        <v>#N/A</v>
      </c>
    </row>
    <row r="38" spans="1:44" ht="13.5" customHeight="1" x14ac:dyDescent="0.2">
      <c r="A38" s="54" t="s">
        <v>2</v>
      </c>
      <c r="B38" s="34">
        <f>集計表!D31</f>
        <v>161</v>
      </c>
      <c r="C38" s="34">
        <f>集計表!E31</f>
        <v>161</v>
      </c>
      <c r="D38" s="34">
        <f>集計表!F31</f>
        <v>161</v>
      </c>
      <c r="E38" s="34">
        <f>集計表!G31</f>
        <v>161</v>
      </c>
      <c r="F38" s="34">
        <f>集計表!H31</f>
        <v>161</v>
      </c>
      <c r="G38" s="34">
        <f>集計表!I31</f>
        <v>161</v>
      </c>
      <c r="H38" s="34">
        <f>集計表!J31</f>
        <v>161</v>
      </c>
      <c r="I38" s="34">
        <f>集計表!K31</f>
        <v>167</v>
      </c>
      <c r="J38" s="34">
        <f>集計表!L31</f>
        <v>167</v>
      </c>
      <c r="K38" s="34">
        <f>集計表!M31</f>
        <v>167</v>
      </c>
      <c r="L38" s="34">
        <f>集計表!N31</f>
        <v>167</v>
      </c>
      <c r="M38" s="34">
        <f>集計表!O31</f>
        <v>167</v>
      </c>
      <c r="N38" s="34">
        <f>集計表!P31</f>
        <v>167</v>
      </c>
      <c r="O38" s="34">
        <f>集計表!Q31</f>
        <v>167</v>
      </c>
      <c r="P38" s="36">
        <f>集計表!R31</f>
        <v>167</v>
      </c>
      <c r="Q38" s="34">
        <f>集計表!S31</f>
        <v>160</v>
      </c>
      <c r="R38" s="34">
        <f>集計表!T31</f>
        <v>160</v>
      </c>
      <c r="S38" s="34">
        <f>集計表!U31</f>
        <v>160</v>
      </c>
      <c r="T38" s="34">
        <f>集計表!V31</f>
        <v>160</v>
      </c>
      <c r="U38" s="34">
        <f>集計表!W31</f>
        <v>160</v>
      </c>
      <c r="V38" s="34">
        <f>集計表!X31</f>
        <v>160</v>
      </c>
      <c r="W38" s="34">
        <f>集計表!Y31</f>
        <v>160</v>
      </c>
      <c r="X38" s="34">
        <f>集計表!Z31</f>
        <v>154</v>
      </c>
      <c r="Y38" s="34">
        <f>集計表!AA31</f>
        <v>154</v>
      </c>
      <c r="Z38" s="34">
        <f>集計表!AB31</f>
        <v>154</v>
      </c>
      <c r="AA38" s="34">
        <f>集計表!AC31</f>
        <v>154</v>
      </c>
      <c r="AB38" s="34">
        <f>集計表!AD31</f>
        <v>154</v>
      </c>
      <c r="AC38" s="34">
        <f>集計表!AE31</f>
        <v>154</v>
      </c>
      <c r="AD38" s="34">
        <f>集計表!AF31</f>
        <v>154</v>
      </c>
      <c r="AE38" s="34">
        <f>集計表!AG31</f>
        <v>166</v>
      </c>
      <c r="AF38" s="34">
        <f>集計表!AH31</f>
        <v>166</v>
      </c>
      <c r="AG38" s="34">
        <f>集計表!AI31</f>
        <v>166</v>
      </c>
      <c r="AH38" s="34">
        <f>集計表!AJ31</f>
        <v>166</v>
      </c>
      <c r="AI38" s="34">
        <f>集計表!AK31</f>
        <v>166</v>
      </c>
      <c r="AJ38" s="34">
        <f>集計表!AL31</f>
        <v>166</v>
      </c>
      <c r="AK38" s="34">
        <f>集計表!AM31</f>
        <v>157</v>
      </c>
      <c r="AL38" s="34">
        <f>集計表!AN31</f>
        <v>157</v>
      </c>
      <c r="AM38" s="34">
        <f>集計表!AO31</f>
        <v>157</v>
      </c>
      <c r="AN38" s="34">
        <f>集計表!AP31</f>
        <v>157</v>
      </c>
      <c r="AO38" s="34">
        <f>集計表!AQ31</f>
        <v>157</v>
      </c>
      <c r="AP38" s="34">
        <f>集計表!AR31</f>
        <v>157</v>
      </c>
      <c r="AQ38" s="34">
        <f>集計表!AS31</f>
        <v>157</v>
      </c>
      <c r="AR38" s="34">
        <f>集計表!AT31</f>
        <v>157</v>
      </c>
    </row>
    <row r="39" spans="1:44" ht="13.5" customHeight="1" x14ac:dyDescent="0.2">
      <c r="A39" s="55" t="s">
        <v>20</v>
      </c>
      <c r="B39" s="56">
        <f>IFERROR(B37/B38, "")</f>
        <v>1.0186335403726707</v>
      </c>
      <c r="C39" s="57">
        <f t="shared" ref="C39:AM39" si="0">IFERROR(C37/C38, "")</f>
        <v>1.0248447204968945</v>
      </c>
      <c r="D39" s="56">
        <f t="shared" si="0"/>
        <v>1.031055900621118</v>
      </c>
      <c r="E39" s="56">
        <f t="shared" si="0"/>
        <v>1.0496894409937889</v>
      </c>
      <c r="F39" s="56">
        <f t="shared" si="0"/>
        <v>1.0372670807453417</v>
      </c>
      <c r="G39" s="56">
        <f t="shared" si="0"/>
        <v>1.0496894409937889</v>
      </c>
      <c r="H39" s="57">
        <f t="shared" si="0"/>
        <v>1.0745341614906831</v>
      </c>
      <c r="I39" s="56">
        <f t="shared" si="0"/>
        <v>1.0299401197604789</v>
      </c>
      <c r="J39" s="56">
        <f t="shared" si="0"/>
        <v>1.0179640718562875</v>
      </c>
      <c r="K39" s="56">
        <f t="shared" si="0"/>
        <v>1.0119760479041917</v>
      </c>
      <c r="L39" s="56">
        <f t="shared" si="0"/>
        <v>1.0239520958083832</v>
      </c>
      <c r="M39" s="56">
        <f t="shared" si="0"/>
        <v>1.0059880239520957</v>
      </c>
      <c r="N39" s="56">
        <f t="shared" si="0"/>
        <v>1</v>
      </c>
      <c r="O39" s="56">
        <f t="shared" si="0"/>
        <v>0.98203592814371254</v>
      </c>
      <c r="P39" s="56">
        <f t="shared" si="0"/>
        <v>1.0179640718562875</v>
      </c>
      <c r="Q39" s="57">
        <f t="shared" si="0"/>
        <v>0.98750000000000004</v>
      </c>
      <c r="R39" s="57">
        <f t="shared" si="0"/>
        <v>1.0375000000000001</v>
      </c>
      <c r="S39" s="56">
        <f t="shared" si="0"/>
        <v>0.98750000000000004</v>
      </c>
      <c r="T39" s="56">
        <f t="shared" si="0"/>
        <v>1.0687500000000001</v>
      </c>
      <c r="U39" s="57">
        <f t="shared" si="0"/>
        <v>1.05</v>
      </c>
      <c r="V39" s="56">
        <f t="shared" si="0"/>
        <v>0.99375000000000002</v>
      </c>
      <c r="W39" s="56">
        <f t="shared" si="0"/>
        <v>1.08125</v>
      </c>
      <c r="X39" s="56">
        <f t="shared" si="0"/>
        <v>1.025974025974026</v>
      </c>
      <c r="Y39" s="57">
        <f t="shared" si="0"/>
        <v>1.0129870129870129</v>
      </c>
      <c r="Z39" s="56">
        <f t="shared" si="0"/>
        <v>1.0649350649350648</v>
      </c>
      <c r="AA39" s="56">
        <f t="shared" si="0"/>
        <v>1.051948051948052</v>
      </c>
      <c r="AB39" s="56">
        <f t="shared" si="0"/>
        <v>1.025974025974026</v>
      </c>
      <c r="AC39" s="57" t="str">
        <f t="shared" si="0"/>
        <v/>
      </c>
      <c r="AD39" s="56" t="str">
        <f t="shared" si="0"/>
        <v/>
      </c>
      <c r="AE39" s="56" t="str">
        <f t="shared" si="0"/>
        <v/>
      </c>
      <c r="AF39" s="56" t="str">
        <f t="shared" si="0"/>
        <v/>
      </c>
      <c r="AG39" s="56" t="str">
        <f t="shared" si="0"/>
        <v/>
      </c>
      <c r="AH39" s="56" t="str">
        <f t="shared" si="0"/>
        <v/>
      </c>
      <c r="AI39" s="56" t="str">
        <f t="shared" si="0"/>
        <v/>
      </c>
      <c r="AJ39" s="56" t="str">
        <f t="shared" si="0"/>
        <v/>
      </c>
      <c r="AK39" s="57" t="str">
        <f t="shared" si="0"/>
        <v/>
      </c>
      <c r="AL39" s="57" t="str">
        <f t="shared" si="0"/>
        <v/>
      </c>
      <c r="AM39" s="56" t="str">
        <f t="shared" si="0"/>
        <v/>
      </c>
      <c r="AN39" s="57" t="str">
        <f t="shared" ref="AN39:AO39" si="1">IFERROR(AN37/AN38, "")</f>
        <v/>
      </c>
      <c r="AO39" s="56" t="str">
        <f t="shared" si="1"/>
        <v/>
      </c>
      <c r="AP39" s="56" t="str">
        <f t="shared" ref="AP39:AQ39" si="2">IFERROR(AP37/AP38, "")</f>
        <v/>
      </c>
      <c r="AQ39" s="56" t="str">
        <f t="shared" si="2"/>
        <v/>
      </c>
      <c r="AR39" s="56" t="str">
        <f t="shared" ref="AR39" si="3">IFERROR(AR37/AR38, "")</f>
        <v/>
      </c>
    </row>
    <row r="40" spans="1:44" s="38" customFormat="1" ht="30" customHeight="1" x14ac:dyDescent="0.2">
      <c r="A40" s="38" t="s">
        <v>24</v>
      </c>
      <c r="B40" s="39"/>
      <c r="C40" s="39"/>
      <c r="D40" s="40"/>
      <c r="E40" s="39"/>
      <c r="F40" s="41"/>
      <c r="G40" s="39"/>
      <c r="H40" s="39"/>
      <c r="I40" s="39"/>
      <c r="J40" s="39"/>
      <c r="K40" s="42"/>
      <c r="L40" s="39"/>
      <c r="M40" s="42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Q40"/>
      <c r="AR40"/>
    </row>
    <row r="41" spans="1:44" ht="15.6" x14ac:dyDescent="0.2">
      <c r="A41" s="23" t="s">
        <v>11</v>
      </c>
      <c r="B41" s="13"/>
      <c r="C41" s="13"/>
      <c r="D41" s="13"/>
      <c r="E41" s="13"/>
      <c r="F41" s="13"/>
      <c r="G41" s="13"/>
      <c r="H41" s="13"/>
      <c r="I41" s="13"/>
      <c r="J41" s="13"/>
      <c r="L41" s="13" t="str">
        <f>TEXT(集計表!$C$1,"(e.m/d～)")</f>
        <v>(8.6/1～)</v>
      </c>
      <c r="M41" s="13"/>
      <c r="N41" s="13"/>
    </row>
    <row r="42" spans="1:44" ht="15.6" x14ac:dyDescent="0.2">
      <c r="A42" s="23" t="s">
        <v>13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1:44" ht="15.75" customHeight="1" x14ac:dyDescent="0.2"/>
    <row r="68" spans="1:44" ht="13.2" customHeight="1" x14ac:dyDescent="0.2"/>
    <row r="69" spans="1:44" ht="13.2" customHeight="1" x14ac:dyDescent="0.2"/>
    <row r="70" spans="1:44" ht="13.2" customHeight="1" x14ac:dyDescent="0.2"/>
    <row r="71" spans="1:44" ht="13.2" customHeight="1" x14ac:dyDescent="0.2"/>
    <row r="72" spans="1:44" ht="13.2" customHeight="1" x14ac:dyDescent="0.2"/>
    <row r="73" spans="1:44" ht="13.2" customHeight="1" x14ac:dyDescent="0.2"/>
    <row r="74" spans="1:44" s="46" customFormat="1" ht="16.2" customHeight="1" x14ac:dyDescent="0.2">
      <c r="B74" s="45"/>
      <c r="C74" s="45"/>
      <c r="D74" s="44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4"/>
      <c r="S74" s="45"/>
      <c r="T74" s="45"/>
      <c r="U74" s="45"/>
      <c r="V74" s="45"/>
      <c r="W74" s="45"/>
      <c r="X74" s="45"/>
      <c r="Y74" s="45"/>
      <c r="Z74" s="45"/>
      <c r="AA74" s="44"/>
      <c r="AB74" s="45"/>
      <c r="AC74" s="45"/>
      <c r="AD74" s="45"/>
      <c r="AE74" s="45"/>
      <c r="AF74" s="45"/>
      <c r="AG74" s="45"/>
      <c r="AH74" s="45"/>
      <c r="AI74" s="45"/>
      <c r="AJ74" s="49"/>
      <c r="AM74" s="45"/>
      <c r="AN74" s="49"/>
      <c r="AO74" s="45"/>
      <c r="AP74" s="45"/>
      <c r="AQ74" s="45"/>
      <c r="AR74" s="45"/>
    </row>
    <row r="75" spans="1:44" x14ac:dyDescent="0.2">
      <c r="A75" s="50">
        <f>集計表!C33</f>
        <v>46174</v>
      </c>
      <c r="B75" s="63" t="str">
        <f>集計表!D33</f>
        <v>6/1</v>
      </c>
      <c r="C75" s="52" t="str">
        <f>集計表!E33</f>
        <v>2</v>
      </c>
      <c r="D75" s="52" t="str">
        <f>集計表!F33</f>
        <v>4</v>
      </c>
      <c r="E75" s="52" t="str">
        <f>集計表!G33</f>
        <v>5</v>
      </c>
      <c r="F75" s="52" t="str">
        <f>集計表!H33</f>
        <v>6</v>
      </c>
      <c r="G75" s="52" t="str">
        <f>集計表!I33</f>
        <v>8</v>
      </c>
      <c r="H75" s="52" t="str">
        <f>集計表!J33</f>
        <v>9</v>
      </c>
      <c r="I75" s="52" t="str">
        <f>集計表!K33</f>
        <v>11</v>
      </c>
      <c r="J75" s="52" t="str">
        <f>集計表!L33</f>
        <v>12</v>
      </c>
      <c r="K75" s="52" t="str">
        <f>集計表!M33</f>
        <v>13</v>
      </c>
      <c r="L75" s="52" t="str">
        <f>集計表!N33</f>
        <v>15</v>
      </c>
      <c r="M75" s="52" t="str">
        <f>集計表!O33</f>
        <v>16</v>
      </c>
      <c r="N75" s="52" t="str">
        <f>集計表!P33</f>
        <v>18</v>
      </c>
      <c r="O75" s="52" t="str">
        <f>集計表!Q33</f>
        <v>19</v>
      </c>
      <c r="P75" s="52" t="str">
        <f>集計表!R33</f>
        <v>20</v>
      </c>
      <c r="Q75" s="52" t="str">
        <f>集計表!S33</f>
        <v>22</v>
      </c>
      <c r="R75" s="52" t="str">
        <f>集計表!T33</f>
        <v>23</v>
      </c>
      <c r="S75" s="52" t="str">
        <f>集計表!U33</f>
        <v>25</v>
      </c>
      <c r="T75" s="52" t="str">
        <f>集計表!V33</f>
        <v>26</v>
      </c>
      <c r="U75" s="52" t="str">
        <f>集計表!W33</f>
        <v>27</v>
      </c>
      <c r="V75" s="52" t="str">
        <f>集計表!X33</f>
        <v>29</v>
      </c>
      <c r="W75" s="52" t="str">
        <f>集計表!Y33</f>
        <v>30</v>
      </c>
      <c r="X75" s="52" t="str">
        <f>集計表!Z33</f>
        <v>7/2</v>
      </c>
      <c r="Y75" s="52" t="str">
        <f>集計表!AA33</f>
        <v>3</v>
      </c>
      <c r="Z75" s="52" t="str">
        <f>集計表!AB33</f>
        <v>4</v>
      </c>
      <c r="AA75" s="52" t="str">
        <f>集計表!AC33</f>
        <v>6</v>
      </c>
      <c r="AB75" s="52" t="str">
        <f>集計表!AD33</f>
        <v>7</v>
      </c>
      <c r="AC75" s="52" t="str">
        <f>集計表!AE33</f>
        <v>9</v>
      </c>
      <c r="AD75" s="52" t="str">
        <f>集計表!AF33</f>
        <v>10</v>
      </c>
      <c r="AE75" s="52" t="str">
        <f>集計表!AG33</f>
        <v>11</v>
      </c>
      <c r="AF75" s="52" t="str">
        <f>集計表!AH33</f>
        <v>13</v>
      </c>
      <c r="AG75" s="52" t="str">
        <f>集計表!AI33</f>
        <v>14</v>
      </c>
      <c r="AH75" s="52" t="str">
        <f>集計表!AJ33</f>
        <v>16</v>
      </c>
      <c r="AI75" s="52" t="str">
        <f>集計表!AK33</f>
        <v>17</v>
      </c>
      <c r="AJ75" s="52" t="str">
        <f>集計表!AL33</f>
        <v>18</v>
      </c>
      <c r="AK75" s="52" t="str">
        <f>集計表!AM33</f>
        <v>21</v>
      </c>
      <c r="AL75" s="52" t="str">
        <f>集計表!AN33</f>
        <v>23</v>
      </c>
      <c r="AM75" s="52" t="str">
        <f>集計表!AO33</f>
        <v>24</v>
      </c>
      <c r="AN75" s="52" t="str">
        <f>集計表!AP33</f>
        <v>25</v>
      </c>
      <c r="AO75" s="52" t="str">
        <f>集計表!AQ33</f>
        <v>27</v>
      </c>
      <c r="AP75" s="52" t="str">
        <f>集計表!AR33</f>
        <v>28</v>
      </c>
      <c r="AQ75" s="52" t="str">
        <f>集計表!AS33</f>
        <v>30</v>
      </c>
      <c r="AR75" s="52" t="str">
        <f>集計表!AT33</f>
        <v>31</v>
      </c>
    </row>
    <row r="76" spans="1:44" x14ac:dyDescent="0.2">
      <c r="A76" s="54" t="s">
        <v>0</v>
      </c>
      <c r="B76" s="34">
        <f>IF(集計表!D35="","",集計表!D35)</f>
        <v>117.37</v>
      </c>
      <c r="C76" s="34">
        <f>IF(集計表!E35="","",集計表!E35)</f>
        <v>60.746000000000002</v>
      </c>
      <c r="D76" s="34">
        <f>IF(集計表!F35="","",集計表!F35)</f>
        <v>83.366</v>
      </c>
      <c r="E76" s="34">
        <f>IF(集計表!G35="","",集計表!G35)</f>
        <v>37.905999999999999</v>
      </c>
      <c r="F76" s="34">
        <f>IF(集計表!H35="","",集計表!H35)</f>
        <v>29.960999999999999</v>
      </c>
      <c r="G76" s="34">
        <f>IF(集計表!I35="","",集計表!I35)</f>
        <v>94.436999999999998</v>
      </c>
      <c r="H76" s="34">
        <f>IF(集計表!J35="","",集計表!J35)</f>
        <v>71.686000000000007</v>
      </c>
      <c r="I76" s="34">
        <f>IF(集計表!K35="","",集計表!K35)</f>
        <v>64.686999999999998</v>
      </c>
      <c r="J76" s="34">
        <f>IF(集計表!L35="","",集計表!L35)</f>
        <v>48.093000000000004</v>
      </c>
      <c r="K76" s="34">
        <f>IF(集計表!M35="","",集計表!M35)</f>
        <v>55.35</v>
      </c>
      <c r="L76" s="34">
        <f>IF(集計表!N35="","",集計表!N35)</f>
        <v>111.608</v>
      </c>
      <c r="M76" s="34">
        <f>IF(集計表!O35="","",集計表!O35)</f>
        <v>80.912000000000006</v>
      </c>
      <c r="N76" s="34">
        <f>IF(集計表!P35="","",集計表!P35)</f>
        <v>81.391999999999996</v>
      </c>
      <c r="O76" s="34">
        <f>IF(集計表!Q35="","",集計表!Q35)</f>
        <v>57.957999999999998</v>
      </c>
      <c r="P76" s="34">
        <f>IF(集計表!R35="","",集計表!R35)</f>
        <v>53.783000000000001</v>
      </c>
      <c r="Q76" s="34">
        <f>IF(集計表!S35="","",集計表!S35)</f>
        <v>56.901000000000003</v>
      </c>
      <c r="R76" s="34">
        <f>IF(集計表!T35="","",集計表!T35)</f>
        <v>30.902000000000001</v>
      </c>
      <c r="S76" s="34">
        <f>IF(集計表!U35="","",集計表!U35)</f>
        <v>76.185000000000002</v>
      </c>
      <c r="T76" s="34">
        <f>IF(集計表!V35="","",集計表!V35)</f>
        <v>52.667000000000002</v>
      </c>
      <c r="U76" s="34">
        <f>IF(集計表!W35="","",集計表!W35)</f>
        <v>55.433</v>
      </c>
      <c r="V76" s="34">
        <f>IF(集計表!X35="","",集計表!X35)</f>
        <v>66.623000000000005</v>
      </c>
      <c r="W76" s="34">
        <f>IF(集計表!Y35="","",集計表!Y35)</f>
        <v>68.274000000000001</v>
      </c>
      <c r="X76" s="34">
        <f>IF(集計表!Z35="","",集計表!Z35)</f>
        <v>81.834999999999994</v>
      </c>
      <c r="Y76" s="34">
        <f>IF(集計表!AA35="","",集計表!AA35)</f>
        <v>76.548000000000002</v>
      </c>
      <c r="Z76" s="34">
        <f>IF(集計表!AB35="","",集計表!AB35)</f>
        <v>63.225000000000001</v>
      </c>
      <c r="AA76" s="34">
        <f>IF(集計表!AC35="","",集計表!AC35)</f>
        <v>77.876000000000005</v>
      </c>
      <c r="AB76" s="34">
        <f>IF(集計表!AD35="","",集計表!AD35)</f>
        <v>58.677</v>
      </c>
      <c r="AC76" s="34" t="str">
        <f>IF(集計表!AE35="","",集計表!AE35)</f>
        <v/>
      </c>
      <c r="AD76" s="34" t="str">
        <f>IF(集計表!AF35="","",集計表!AF35)</f>
        <v/>
      </c>
      <c r="AE76" s="34" t="str">
        <f>IF(集計表!AG35="","",集計表!AG35)</f>
        <v/>
      </c>
      <c r="AF76" s="34" t="str">
        <f>IF(集計表!AH35="","",集計表!AH35)</f>
        <v/>
      </c>
      <c r="AG76" s="34" t="str">
        <f>IF(集計表!AI35="","",集計表!AI35)</f>
        <v/>
      </c>
      <c r="AH76" s="34" t="str">
        <f>IF(集計表!AJ35="","",集計表!AJ35)</f>
        <v/>
      </c>
      <c r="AI76" s="34" t="str">
        <f>IF(集計表!AK35="","",集計表!AK35)</f>
        <v/>
      </c>
      <c r="AJ76" s="34" t="str">
        <f>IF(集計表!AL35="","",集計表!AL35)</f>
        <v/>
      </c>
      <c r="AK76" s="34" t="str">
        <f>IF(集計表!AM35="","",集計表!AM35)</f>
        <v/>
      </c>
      <c r="AL76" s="34" t="str">
        <f>IF(集計表!AN35="","",集計表!AN35)</f>
        <v/>
      </c>
      <c r="AM76" s="34" t="str">
        <f>IF(集計表!AO35="","",集計表!AO35)</f>
        <v/>
      </c>
      <c r="AN76" s="34" t="str">
        <f>IF(集計表!AP35="","",集計表!AP35)</f>
        <v/>
      </c>
      <c r="AO76" s="34" t="str">
        <f>IF(集計表!AQ35="","",集計表!AQ35)</f>
        <v/>
      </c>
      <c r="AP76" s="34" t="str">
        <f>IF(集計表!AR35="","",集計表!AR35)</f>
        <v/>
      </c>
      <c r="AQ76" s="34" t="str">
        <f>IF(集計表!AS35="","",集計表!AS35)</f>
        <v/>
      </c>
      <c r="AR76" s="34" t="str">
        <f>IF(集計表!AT35="","",集計表!AT35)</f>
        <v/>
      </c>
    </row>
    <row r="77" spans="1:44" x14ac:dyDescent="0.2">
      <c r="A77" s="54" t="s">
        <v>1</v>
      </c>
      <c r="B77" s="34">
        <f>IF(集計表!D36=0,NA(),集計表!D36)</f>
        <v>152</v>
      </c>
      <c r="C77" s="34">
        <f>IF(集計表!E36=0,NA(),集計表!E36)</f>
        <v>171</v>
      </c>
      <c r="D77" s="34">
        <f>IF(集計表!F36=0,NA(),集計表!F36)</f>
        <v>182</v>
      </c>
      <c r="E77" s="34">
        <f>IF(集計表!G36=0,NA(),集計表!G36)</f>
        <v>181</v>
      </c>
      <c r="F77" s="34">
        <f>IF(集計表!H36=0,NA(),集計表!H36)</f>
        <v>186</v>
      </c>
      <c r="G77" s="34">
        <f>IF(集計表!I36=0,NA(),集計表!I36)</f>
        <v>185</v>
      </c>
      <c r="H77" s="34">
        <f>IF(集計表!J36=0,NA(),集計表!J36)</f>
        <v>170</v>
      </c>
      <c r="I77" s="34">
        <f>IF(集計表!K36=0,NA(),集計表!K36)</f>
        <v>194</v>
      </c>
      <c r="J77" s="34">
        <f>IF(集計表!L36=0,NA(),集計表!L36)</f>
        <v>205</v>
      </c>
      <c r="K77" s="34">
        <f>IF(集計表!M36=0,NA(),集計表!M36)</f>
        <v>200</v>
      </c>
      <c r="L77" s="34">
        <f>IF(集計表!N36=0,NA(),集計表!N36)</f>
        <v>191</v>
      </c>
      <c r="M77" s="34">
        <f>IF(集計表!O36=0,NA(),集計表!O36)</f>
        <v>177</v>
      </c>
      <c r="N77" s="34">
        <f>IF(集計表!P36=0,NA(),集計表!P36)</f>
        <v>185</v>
      </c>
      <c r="O77" s="34">
        <f>IF(集計表!Q36=0,NA(),集計表!Q36)</f>
        <v>186</v>
      </c>
      <c r="P77" s="34">
        <f>IF(集計表!R36=0,NA(),集計表!R36)</f>
        <v>199</v>
      </c>
      <c r="Q77" s="34">
        <f>IF(集計表!S36=0,NA(),集計表!S36)</f>
        <v>182</v>
      </c>
      <c r="R77" s="34">
        <f>IF(集計表!T36=0,NA(),集計表!T36)</f>
        <v>185</v>
      </c>
      <c r="S77" s="34">
        <f>IF(集計表!U36=0,NA(),集計表!U36)</f>
        <v>180</v>
      </c>
      <c r="T77" s="34">
        <f>IF(集計表!V36=0,NA(),集計表!V36)</f>
        <v>133</v>
      </c>
      <c r="U77" s="34">
        <f>IF(集計表!W36=0,NA(),集計表!W36)</f>
        <v>194</v>
      </c>
      <c r="V77" s="34">
        <f>IF(集計表!X36=0,NA(),集計表!X36)</f>
        <v>197</v>
      </c>
      <c r="W77" s="34">
        <f>IF(集計表!Y36=0,NA(),集計表!Y36)</f>
        <v>180</v>
      </c>
      <c r="X77" s="34">
        <f>IF(集計表!Z36=0,NA(),集計表!Z36)</f>
        <v>183</v>
      </c>
      <c r="Y77" s="34">
        <f>IF(集計表!AA36=0,NA(),集計表!AA36)</f>
        <v>188</v>
      </c>
      <c r="Z77" s="34">
        <f>IF(集計表!AB36=0,NA(),集計表!AB36)</f>
        <v>182</v>
      </c>
      <c r="AA77" s="34">
        <f>IF(集計表!AC36=0,NA(),集計表!AC36)</f>
        <v>190</v>
      </c>
      <c r="AB77" s="34">
        <f>IF(集計表!AD36=0,NA(),集計表!AD36)</f>
        <v>191</v>
      </c>
      <c r="AC77" s="34" t="e">
        <f>IF(集計表!AE36=0,NA(),集計表!AE36)</f>
        <v>#N/A</v>
      </c>
      <c r="AD77" s="34" t="e">
        <f>IF(集計表!AF36=0,NA(),集計表!AF36)</f>
        <v>#N/A</v>
      </c>
      <c r="AE77" s="34" t="e">
        <f>IF(集計表!AG36=0,NA(),集計表!AG36)</f>
        <v>#N/A</v>
      </c>
      <c r="AF77" s="34" t="e">
        <f>IF(集計表!AH36=0,NA(),集計表!AH36)</f>
        <v>#N/A</v>
      </c>
      <c r="AG77" s="34" t="e">
        <f>IF(集計表!AI36=0,NA(),集計表!AI36)</f>
        <v>#N/A</v>
      </c>
      <c r="AH77" s="34" t="e">
        <f>IF(集計表!AJ36=0,NA(),集計表!AJ36)</f>
        <v>#N/A</v>
      </c>
      <c r="AI77" s="34" t="e">
        <f>IF(集計表!AK36=0,NA(),集計表!AK36)</f>
        <v>#N/A</v>
      </c>
      <c r="AJ77" s="34" t="e">
        <f>IF(集計表!AL36=0,NA(),集計表!AL36)</f>
        <v>#N/A</v>
      </c>
      <c r="AK77" s="34" t="e">
        <f>IF(集計表!AM36=0,NA(),集計表!AM36)</f>
        <v>#N/A</v>
      </c>
      <c r="AL77" s="34" t="e">
        <f>IF(集計表!AN36=0,NA(),集計表!AN36)</f>
        <v>#N/A</v>
      </c>
      <c r="AM77" s="34" t="e">
        <f>IF(集計表!AO36=0,NA(),集計表!AO36)</f>
        <v>#N/A</v>
      </c>
      <c r="AN77" s="34" t="e">
        <f>IF(集計表!AP36=0,NA(),集計表!AP36)</f>
        <v>#N/A</v>
      </c>
      <c r="AO77" s="34" t="e">
        <f>IF(集計表!AQ36=0,NA(),集計表!AQ36)</f>
        <v>#N/A</v>
      </c>
      <c r="AP77" s="34" t="e">
        <f>IF(集計表!AR36=0,NA(),集計表!AR36)</f>
        <v>#N/A</v>
      </c>
      <c r="AQ77" s="34" t="e">
        <f>IF(集計表!AS36=0,NA(),集計表!AS36)</f>
        <v>#N/A</v>
      </c>
      <c r="AR77" s="34" t="e">
        <f>IF(集計表!AT36=0,NA(),集計表!AT36)</f>
        <v>#N/A</v>
      </c>
    </row>
    <row r="78" spans="1:44" x14ac:dyDescent="0.2">
      <c r="A78" s="54" t="s">
        <v>2</v>
      </c>
      <c r="B78" s="34">
        <f>集計表!D37</f>
        <v>160</v>
      </c>
      <c r="C78" s="34">
        <f>集計表!E37</f>
        <v>160</v>
      </c>
      <c r="D78" s="34">
        <f>集計表!F37</f>
        <v>160</v>
      </c>
      <c r="E78" s="34">
        <f>集計表!G37</f>
        <v>160</v>
      </c>
      <c r="F78" s="34">
        <f>集計表!H37</f>
        <v>160</v>
      </c>
      <c r="G78" s="34">
        <f>集計表!I37</f>
        <v>160</v>
      </c>
      <c r="H78" s="34">
        <f>集計表!J37</f>
        <v>160</v>
      </c>
      <c r="I78" s="34">
        <f>集計表!K37</f>
        <v>182</v>
      </c>
      <c r="J78" s="34">
        <f>集計表!L37</f>
        <v>182</v>
      </c>
      <c r="K78" s="34">
        <f>集計表!M37</f>
        <v>182</v>
      </c>
      <c r="L78" s="34">
        <f>集計表!N37</f>
        <v>182</v>
      </c>
      <c r="M78" s="34">
        <f>集計表!O37</f>
        <v>182</v>
      </c>
      <c r="N78" s="34">
        <f>集計表!P37</f>
        <v>182</v>
      </c>
      <c r="O78" s="34">
        <f>集計表!Q37</f>
        <v>182</v>
      </c>
      <c r="P78" s="34">
        <f>集計表!R37</f>
        <v>182</v>
      </c>
      <c r="Q78" s="34">
        <f>集計表!S37</f>
        <v>168</v>
      </c>
      <c r="R78" s="34">
        <f>集計表!T37</f>
        <v>168</v>
      </c>
      <c r="S78" s="34">
        <f>集計表!U37</f>
        <v>168</v>
      </c>
      <c r="T78" s="34">
        <f>集計表!V37</f>
        <v>168</v>
      </c>
      <c r="U78" s="34">
        <f>集計表!W37</f>
        <v>168</v>
      </c>
      <c r="V78" s="34">
        <f>集計表!X37</f>
        <v>168</v>
      </c>
      <c r="W78" s="34">
        <f>集計表!Y37</f>
        <v>168</v>
      </c>
      <c r="X78" s="34">
        <f>集計表!Z37</f>
        <v>163</v>
      </c>
      <c r="Y78" s="34">
        <f>集計表!AA37</f>
        <v>163</v>
      </c>
      <c r="Z78" s="34">
        <f>集計表!AB37</f>
        <v>163</v>
      </c>
      <c r="AA78" s="34">
        <f>集計表!AC37</f>
        <v>163</v>
      </c>
      <c r="AB78" s="34">
        <f>集計表!AD37</f>
        <v>163</v>
      </c>
      <c r="AC78" s="34">
        <f>集計表!AE37</f>
        <v>163</v>
      </c>
      <c r="AD78" s="34">
        <f>集計表!AF37</f>
        <v>163</v>
      </c>
      <c r="AE78" s="34">
        <f>集計表!AG37</f>
        <v>174</v>
      </c>
      <c r="AF78" s="34">
        <f>集計表!AH37</f>
        <v>174</v>
      </c>
      <c r="AG78" s="34">
        <f>集計表!AI37</f>
        <v>174</v>
      </c>
      <c r="AH78" s="34">
        <f>集計表!AJ37</f>
        <v>174</v>
      </c>
      <c r="AI78" s="34">
        <f>集計表!AK37</f>
        <v>174</v>
      </c>
      <c r="AJ78" s="34">
        <f>集計表!AL37</f>
        <v>174</v>
      </c>
      <c r="AK78" s="34">
        <f>集計表!AM37</f>
        <v>164</v>
      </c>
      <c r="AL78" s="34">
        <f>集計表!AN37</f>
        <v>164</v>
      </c>
      <c r="AM78" s="34">
        <f>集計表!AO37</f>
        <v>164</v>
      </c>
      <c r="AN78" s="34">
        <f>集計表!AP37</f>
        <v>164</v>
      </c>
      <c r="AO78" s="34">
        <f>集計表!AQ37</f>
        <v>164</v>
      </c>
      <c r="AP78" s="34">
        <f>集計表!AR37</f>
        <v>164</v>
      </c>
      <c r="AQ78" s="34">
        <f>集計表!AS37</f>
        <v>164</v>
      </c>
      <c r="AR78" s="34">
        <f>集計表!AT37</f>
        <v>164</v>
      </c>
    </row>
    <row r="79" spans="1:44" ht="13.5" customHeight="1" x14ac:dyDescent="0.2">
      <c r="A79" s="55" t="s">
        <v>20</v>
      </c>
      <c r="B79" s="56">
        <f>IFERROR(B77/B78, "")</f>
        <v>0.95</v>
      </c>
      <c r="C79" s="56">
        <f t="shared" ref="C79:AM79" si="4">IFERROR(C77/C78, "")</f>
        <v>1.0687500000000001</v>
      </c>
      <c r="D79" s="56">
        <f t="shared" si="4"/>
        <v>1.1375</v>
      </c>
      <c r="E79" s="56">
        <f t="shared" si="4"/>
        <v>1.1312500000000001</v>
      </c>
      <c r="F79" s="56">
        <f t="shared" si="4"/>
        <v>1.1625000000000001</v>
      </c>
      <c r="G79" s="56">
        <f t="shared" si="4"/>
        <v>1.15625</v>
      </c>
      <c r="H79" s="56">
        <f t="shared" si="4"/>
        <v>1.0625</v>
      </c>
      <c r="I79" s="56">
        <f t="shared" si="4"/>
        <v>1.0659340659340659</v>
      </c>
      <c r="J79" s="56">
        <f t="shared" si="4"/>
        <v>1.1263736263736264</v>
      </c>
      <c r="K79" s="56">
        <f t="shared" si="4"/>
        <v>1.098901098901099</v>
      </c>
      <c r="L79" s="56">
        <f t="shared" si="4"/>
        <v>1.0494505494505495</v>
      </c>
      <c r="M79" s="56">
        <f t="shared" si="4"/>
        <v>0.97252747252747251</v>
      </c>
      <c r="N79" s="56">
        <f t="shared" si="4"/>
        <v>1.0164835164835164</v>
      </c>
      <c r="O79" s="56">
        <f t="shared" si="4"/>
        <v>1.0219780219780219</v>
      </c>
      <c r="P79" s="57">
        <f t="shared" si="4"/>
        <v>1.0934065934065933</v>
      </c>
      <c r="Q79" s="57">
        <f t="shared" si="4"/>
        <v>1.0833333333333333</v>
      </c>
      <c r="R79" s="57">
        <f t="shared" si="4"/>
        <v>1.1011904761904763</v>
      </c>
      <c r="S79" s="56">
        <f t="shared" si="4"/>
        <v>1.0714285714285714</v>
      </c>
      <c r="T79" s="56">
        <f t="shared" si="4"/>
        <v>0.79166666666666663</v>
      </c>
      <c r="U79" s="56">
        <f t="shared" si="4"/>
        <v>1.1547619047619047</v>
      </c>
      <c r="V79" s="56">
        <f t="shared" si="4"/>
        <v>1.1726190476190477</v>
      </c>
      <c r="W79" s="56">
        <f t="shared" si="4"/>
        <v>1.0714285714285714</v>
      </c>
      <c r="X79" s="56">
        <f t="shared" si="4"/>
        <v>1.1226993865030674</v>
      </c>
      <c r="Y79" s="57">
        <f t="shared" si="4"/>
        <v>1.1533742331288344</v>
      </c>
      <c r="Z79" s="56">
        <f t="shared" si="4"/>
        <v>1.1165644171779141</v>
      </c>
      <c r="AA79" s="56">
        <f t="shared" si="4"/>
        <v>1.165644171779141</v>
      </c>
      <c r="AB79" s="57">
        <f t="shared" si="4"/>
        <v>1.1717791411042944</v>
      </c>
      <c r="AC79" s="56" t="str">
        <f t="shared" si="4"/>
        <v/>
      </c>
      <c r="AD79" s="56" t="str">
        <f t="shared" si="4"/>
        <v/>
      </c>
      <c r="AE79" s="56" t="str">
        <f t="shared" si="4"/>
        <v/>
      </c>
      <c r="AF79" s="56" t="str">
        <f t="shared" si="4"/>
        <v/>
      </c>
      <c r="AG79" s="56" t="str">
        <f t="shared" si="4"/>
        <v/>
      </c>
      <c r="AH79" s="56" t="str">
        <f t="shared" si="4"/>
        <v/>
      </c>
      <c r="AI79" s="56" t="str">
        <f t="shared" si="4"/>
        <v/>
      </c>
      <c r="AJ79" s="57" t="str">
        <f t="shared" si="4"/>
        <v/>
      </c>
      <c r="AK79" s="57" t="str">
        <f t="shared" si="4"/>
        <v/>
      </c>
      <c r="AL79" s="57" t="str">
        <f t="shared" si="4"/>
        <v/>
      </c>
      <c r="AM79" s="56" t="str">
        <f t="shared" si="4"/>
        <v/>
      </c>
      <c r="AN79" s="57" t="str">
        <f t="shared" ref="AN79:AO79" si="5">IFERROR(AN77/AN78, "")</f>
        <v/>
      </c>
      <c r="AO79" s="56" t="str">
        <f t="shared" si="5"/>
        <v/>
      </c>
      <c r="AP79" s="56" t="str">
        <f t="shared" ref="AP79:AQ79" si="6">IFERROR(AP77/AP78, "")</f>
        <v/>
      </c>
      <c r="AQ79" s="56" t="str">
        <f t="shared" si="6"/>
        <v/>
      </c>
      <c r="AR79" s="56" t="str">
        <f t="shared" ref="AR79" si="7">IFERROR(AR77/AR78, "")</f>
        <v/>
      </c>
    </row>
    <row r="80" spans="1:44" s="38" customFormat="1" ht="22.5" customHeight="1" x14ac:dyDescent="0.2">
      <c r="A80" s="38" t="s">
        <v>24</v>
      </c>
      <c r="B80" s="39"/>
      <c r="C80" s="39"/>
      <c r="D80" s="40"/>
      <c r="E80" s="39"/>
      <c r="F80" s="41"/>
      <c r="G80" s="39"/>
      <c r="H80" s="39"/>
      <c r="I80" s="39"/>
      <c r="J80" s="39"/>
      <c r="K80" s="42"/>
      <c r="L80" s="39"/>
      <c r="M80" s="42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</row>
    <row r="81" spans="1:15" ht="15.6" x14ac:dyDescent="0.2">
      <c r="A81" s="23" t="s">
        <v>11</v>
      </c>
      <c r="B81" s="13"/>
      <c r="C81" s="13"/>
      <c r="D81" s="13"/>
      <c r="E81" s="13"/>
      <c r="F81" s="13"/>
      <c r="G81" s="13"/>
      <c r="H81" s="13"/>
      <c r="I81" s="13"/>
      <c r="J81" s="13"/>
      <c r="L81" s="13" t="str">
        <f>TEXT(集計表!$C$1,"(e.m/d～)")</f>
        <v>(8.6/1～)</v>
      </c>
      <c r="M81" s="13"/>
      <c r="N81" s="13"/>
    </row>
    <row r="82" spans="1:15" ht="15.6" x14ac:dyDescent="0.2">
      <c r="A82" s="23" t="s">
        <v>14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112" ht="13.2" customHeight="1" x14ac:dyDescent="0.2"/>
    <row r="113" spans="1:45" ht="13.2" customHeight="1" x14ac:dyDescent="0.2">
      <c r="Q113" s="35"/>
    </row>
    <row r="114" spans="1:45" s="46" customFormat="1" ht="16.2" customHeight="1" x14ac:dyDescent="0.2">
      <c r="B114" s="45"/>
      <c r="C114" s="45"/>
      <c r="D114" s="44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4"/>
      <c r="S114" s="45"/>
      <c r="T114" s="45"/>
      <c r="U114" s="45"/>
      <c r="V114" s="45"/>
      <c r="W114" s="45"/>
      <c r="X114" s="45"/>
      <c r="Y114" s="45"/>
      <c r="Z114" s="45"/>
      <c r="AA114" s="44"/>
      <c r="AB114" s="45"/>
      <c r="AC114" s="45"/>
      <c r="AD114" s="45"/>
      <c r="AE114" s="45"/>
      <c r="AF114" s="67"/>
      <c r="AG114" s="45"/>
      <c r="AH114" s="45"/>
      <c r="AI114" s="45"/>
      <c r="AJ114" s="49"/>
      <c r="AM114" s="45"/>
      <c r="AN114" s="49"/>
      <c r="AO114" s="45"/>
      <c r="AP114" s="45"/>
      <c r="AQ114" s="45"/>
      <c r="AR114" s="45"/>
    </row>
    <row r="115" spans="1:45" x14ac:dyDescent="0.2">
      <c r="A115" s="50">
        <f>集計表!C39</f>
        <v>46174</v>
      </c>
      <c r="B115" s="63" t="str">
        <f>集計表!D39</f>
        <v>6/1</v>
      </c>
      <c r="C115" s="52" t="str">
        <f>集計表!E39</f>
        <v>2</v>
      </c>
      <c r="D115" s="52" t="str">
        <f>集計表!F39</f>
        <v>4</v>
      </c>
      <c r="E115" s="52" t="str">
        <f>集計表!G39</f>
        <v>5</v>
      </c>
      <c r="F115" s="52" t="str">
        <f>集計表!H39</f>
        <v>6</v>
      </c>
      <c r="G115" s="52" t="str">
        <f>集計表!I39</f>
        <v>8</v>
      </c>
      <c r="H115" s="52" t="str">
        <f>集計表!J39</f>
        <v>9</v>
      </c>
      <c r="I115" s="52" t="str">
        <f>集計表!K39</f>
        <v>11</v>
      </c>
      <c r="J115" s="52" t="str">
        <f>集計表!L39</f>
        <v>12</v>
      </c>
      <c r="K115" s="52" t="str">
        <f>集計表!M39</f>
        <v>13</v>
      </c>
      <c r="L115" s="52" t="str">
        <f>集計表!N39</f>
        <v>15</v>
      </c>
      <c r="M115" s="52" t="str">
        <f>集計表!O39</f>
        <v>16</v>
      </c>
      <c r="N115" s="52" t="str">
        <f>集計表!P39</f>
        <v>18</v>
      </c>
      <c r="O115" s="52" t="str">
        <f>集計表!Q39</f>
        <v>19</v>
      </c>
      <c r="P115" s="52" t="str">
        <f>集計表!R39</f>
        <v>20</v>
      </c>
      <c r="Q115" s="52" t="str">
        <f>集計表!S39</f>
        <v>22</v>
      </c>
      <c r="R115" s="52" t="str">
        <f>集計表!T39</f>
        <v>23</v>
      </c>
      <c r="S115" s="52" t="str">
        <f>集計表!U39</f>
        <v>25</v>
      </c>
      <c r="T115" s="52" t="str">
        <f>集計表!V39</f>
        <v>26</v>
      </c>
      <c r="U115" s="52" t="str">
        <f>集計表!W39</f>
        <v>27</v>
      </c>
      <c r="V115" s="52" t="str">
        <f>集計表!X39</f>
        <v>29</v>
      </c>
      <c r="W115" s="52" t="str">
        <f>集計表!Y39</f>
        <v>30</v>
      </c>
      <c r="X115" s="52" t="str">
        <f>集計表!Z39</f>
        <v>7/2</v>
      </c>
      <c r="Y115" s="52" t="str">
        <f>集計表!AA39</f>
        <v>3</v>
      </c>
      <c r="Z115" s="52" t="str">
        <f>集計表!AB39</f>
        <v>4</v>
      </c>
      <c r="AA115" s="52" t="str">
        <f>集計表!AC39</f>
        <v>6</v>
      </c>
      <c r="AB115" s="52" t="str">
        <f>集計表!AD39</f>
        <v>7</v>
      </c>
      <c r="AC115" s="52" t="str">
        <f>集計表!AE39</f>
        <v>9</v>
      </c>
      <c r="AD115" s="52" t="str">
        <f>集計表!AF39</f>
        <v>10</v>
      </c>
      <c r="AE115" s="52" t="str">
        <f>集計表!AG39</f>
        <v>11</v>
      </c>
      <c r="AF115" s="52" t="str">
        <f>集計表!AH39</f>
        <v>13</v>
      </c>
      <c r="AG115" s="52" t="str">
        <f>集計表!AI39</f>
        <v>14</v>
      </c>
      <c r="AH115" s="52" t="str">
        <f>集計表!AJ39</f>
        <v>16</v>
      </c>
      <c r="AI115" s="52" t="str">
        <f>集計表!AK39</f>
        <v>17</v>
      </c>
      <c r="AJ115" s="52" t="str">
        <f>集計表!AL39</f>
        <v>18</v>
      </c>
      <c r="AK115" s="52" t="str">
        <f>集計表!AM39</f>
        <v>21</v>
      </c>
      <c r="AL115" s="52" t="str">
        <f>集計表!AN39</f>
        <v>23</v>
      </c>
      <c r="AM115" s="52" t="str">
        <f>集計表!AO39</f>
        <v>24</v>
      </c>
      <c r="AN115" s="52" t="str">
        <f>集計表!AP39</f>
        <v>25</v>
      </c>
      <c r="AO115" s="52" t="str">
        <f>集計表!AQ39</f>
        <v>27</v>
      </c>
      <c r="AP115" s="52" t="str">
        <f>集計表!AR39</f>
        <v>28</v>
      </c>
      <c r="AQ115" s="52" t="str">
        <f>集計表!AS39</f>
        <v>30</v>
      </c>
      <c r="AR115" s="52" t="str">
        <f>集計表!AT39</f>
        <v>31</v>
      </c>
    </row>
    <row r="116" spans="1:45" x14ac:dyDescent="0.2">
      <c r="A116" s="54" t="s">
        <v>0</v>
      </c>
      <c r="B116" s="34">
        <f>IF(集計表!D41="","",集計表!D41)</f>
        <v>104.05</v>
      </c>
      <c r="C116" s="34">
        <f>IF(集計表!E41="","",集計表!E41)</f>
        <v>68.75</v>
      </c>
      <c r="D116" s="34">
        <f>IF(集計表!F41="","",集計表!F41)</f>
        <v>133.97999999999999</v>
      </c>
      <c r="E116" s="34">
        <f>IF(集計表!G41="","",集計表!G41)</f>
        <v>55.87</v>
      </c>
      <c r="F116" s="34">
        <f>IF(集計表!H41="","",集計表!H41)</f>
        <v>79.19</v>
      </c>
      <c r="G116" s="34">
        <f>IF(集計表!I41="","",集計表!I41)</f>
        <v>122.14</v>
      </c>
      <c r="H116" s="34">
        <f>IF(集計表!J41="","",集計表!J41)</f>
        <v>72.5</v>
      </c>
      <c r="I116" s="34">
        <f>IF(集計表!K41="","",集計表!K41)</f>
        <v>148.18</v>
      </c>
      <c r="J116" s="34">
        <f>IF(集計表!L41="","",集計表!L41)</f>
        <v>101</v>
      </c>
      <c r="K116" s="34">
        <f>IF(集計表!M41="","",集計表!M41)</f>
        <v>105.46</v>
      </c>
      <c r="L116" s="34">
        <f>IF(集計表!N41="","",集計表!N41)</f>
        <v>135.32</v>
      </c>
      <c r="M116" s="34">
        <f>IF(集計表!O41="","",集計表!O41)</f>
        <v>77.099999999999994</v>
      </c>
      <c r="N116" s="34">
        <f>IF(集計表!P41="","",集計表!P41)</f>
        <v>150.91</v>
      </c>
      <c r="O116" s="34">
        <f>IF(集計表!Q41="","",集計表!Q41)</f>
        <v>86.74</v>
      </c>
      <c r="P116" s="34">
        <f>IF(集計表!R41="","",集計表!R41)</f>
        <v>98.42</v>
      </c>
      <c r="Q116" s="34">
        <f>IF(集計表!S41="","",集計表!S41)</f>
        <v>108.67</v>
      </c>
      <c r="R116" s="34">
        <f>IF(集計表!T41="","",集計表!T41)</f>
        <v>66.56</v>
      </c>
      <c r="S116" s="34">
        <f>IF(集計表!U41="","",集計表!U41)</f>
        <v>126.25</v>
      </c>
      <c r="T116" s="34">
        <f>IF(集計表!V41="","",集計表!V41)</f>
        <v>109.41</v>
      </c>
      <c r="U116" s="34">
        <f>IF(集計表!W41="","",集計表!W41)</f>
        <v>108.51</v>
      </c>
      <c r="V116" s="34">
        <f>IF(集計表!X41="","",集計表!X41)</f>
        <v>110.8</v>
      </c>
      <c r="W116" s="34">
        <f>IF(集計表!Y41="","",集計表!Y41)</f>
        <v>91.92</v>
      </c>
      <c r="X116" s="34">
        <f>IF(集計表!Z41="","",集計表!Z41)</f>
        <v>114.58</v>
      </c>
      <c r="Y116" s="34">
        <f>IF(集計表!AA41="","",集計表!AA41)</f>
        <v>110.53</v>
      </c>
      <c r="Z116" s="34">
        <f>IF(集計表!AB41="","",集計表!AB41)</f>
        <v>102.05</v>
      </c>
      <c r="AA116" s="34">
        <f>IF(集計表!AC41="","",集計表!AC41)</f>
        <v>124.22</v>
      </c>
      <c r="AB116" s="34">
        <f>IF(集計表!AD41="","",集計表!AD41)</f>
        <v>102.42</v>
      </c>
      <c r="AC116" s="34" t="str">
        <f>IF(集計表!AE41="","",集計表!AE41)</f>
        <v/>
      </c>
      <c r="AD116" s="34" t="str">
        <f>IF(集計表!AF41="","",集計表!AF41)</f>
        <v/>
      </c>
      <c r="AE116" s="34" t="str">
        <f>IF(集計表!AG41="","",集計表!AG41)</f>
        <v/>
      </c>
      <c r="AF116" s="34" t="str">
        <f>IF(集計表!AH41="","",集計表!AH41)</f>
        <v/>
      </c>
      <c r="AG116" s="34" t="str">
        <f>IF(集計表!AI41="","",集計表!AI41)</f>
        <v/>
      </c>
      <c r="AH116" s="34" t="str">
        <f>IF(集計表!AJ41="","",集計表!AJ41)</f>
        <v/>
      </c>
      <c r="AI116" s="34" t="str">
        <f>IF(集計表!AK41="","",集計表!AK41)</f>
        <v/>
      </c>
      <c r="AJ116" s="34" t="str">
        <f>IF(集計表!AL41="","",集計表!AL41)</f>
        <v/>
      </c>
      <c r="AK116" s="34" t="str">
        <f>IF(集計表!AM41="","",集計表!AM41)</f>
        <v/>
      </c>
      <c r="AL116" s="34" t="str">
        <f>IF(集計表!AN41="","",集計表!AN41)</f>
        <v/>
      </c>
      <c r="AM116" s="34" t="str">
        <f>IF(集計表!AO41="","",集計表!AO41)</f>
        <v/>
      </c>
      <c r="AN116" s="34" t="str">
        <f>IF(集計表!AP41="","",集計表!AP41)</f>
        <v/>
      </c>
      <c r="AO116" s="34" t="str">
        <f>IF(集計表!AQ41="","",集計表!AQ41)</f>
        <v/>
      </c>
      <c r="AP116" s="34" t="str">
        <f>IF(集計表!AR41="","",集計表!AR41)</f>
        <v/>
      </c>
      <c r="AQ116" s="34" t="str">
        <f>IF(集計表!AS41="","",集計表!AS41)</f>
        <v/>
      </c>
      <c r="AR116" s="34" t="str">
        <f>IF(集計表!AT41="","",集計表!AT41)</f>
        <v/>
      </c>
    </row>
    <row r="117" spans="1:45" x14ac:dyDescent="0.2">
      <c r="A117" s="54" t="s">
        <v>1</v>
      </c>
      <c r="B117" s="34">
        <f>IF(集計表!D42=0,NA(),集計表!D42)</f>
        <v>141</v>
      </c>
      <c r="C117" s="34">
        <f>IF(集計表!E42=0,NA(),集計表!E42)</f>
        <v>141</v>
      </c>
      <c r="D117" s="34">
        <f>IF(集計表!F42=0,NA(),集計表!F42)</f>
        <v>135</v>
      </c>
      <c r="E117" s="34">
        <f>IF(集計表!G42=0,NA(),集計表!G42)</f>
        <v>151</v>
      </c>
      <c r="F117" s="34">
        <f>IF(集計表!H42=0,NA(),集計表!H42)</f>
        <v>159</v>
      </c>
      <c r="G117" s="34">
        <f>IF(集計表!I42=0,NA(),集計表!I42)</f>
        <v>159</v>
      </c>
      <c r="H117" s="34">
        <f>IF(集計表!J42=0,NA(),集計表!J42)</f>
        <v>168</v>
      </c>
      <c r="I117" s="34">
        <f>IF(集計表!K42=0,NA(),集計表!K42)</f>
        <v>159</v>
      </c>
      <c r="J117" s="34">
        <f>IF(集計表!L42=0,NA(),集計表!L42)</f>
        <v>164</v>
      </c>
      <c r="K117" s="34">
        <f>IF(集計表!M42=0,NA(),集計表!M42)</f>
        <v>164</v>
      </c>
      <c r="L117" s="34">
        <f>IF(集計表!N42=0,NA(),集計表!N42)</f>
        <v>153</v>
      </c>
      <c r="M117" s="34">
        <f>IF(集計表!O42=0,NA(),集計表!O42)</f>
        <v>164</v>
      </c>
      <c r="N117" s="34">
        <f>IF(集計表!P42=0,NA(),集計表!P42)</f>
        <v>153</v>
      </c>
      <c r="O117" s="34">
        <f>IF(集計表!Q42=0,NA(),集計表!Q42)</f>
        <v>155</v>
      </c>
      <c r="P117" s="34">
        <f>IF(集計表!R42=0,NA(),集計表!R42)</f>
        <v>153</v>
      </c>
      <c r="Q117" s="34">
        <f>IF(集計表!S42=0,NA(),集計表!S42)</f>
        <v>153</v>
      </c>
      <c r="R117" s="34">
        <f>IF(集計表!T42=0,NA(),集計表!T42)</f>
        <v>158</v>
      </c>
      <c r="S117" s="34">
        <f>IF(集計表!U42=0,NA(),集計表!U42)</f>
        <v>157</v>
      </c>
      <c r="T117" s="34">
        <f>IF(集計表!V42=0,NA(),集計表!V42)</f>
        <v>160</v>
      </c>
      <c r="U117" s="34">
        <f>IF(集計表!W42=0,NA(),集計表!W42)</f>
        <v>170</v>
      </c>
      <c r="V117" s="34">
        <f>IF(集計表!X42=0,NA(),集計表!X42)</f>
        <v>173</v>
      </c>
      <c r="W117" s="34">
        <f>IF(集計表!Y42=0,NA(),集計表!Y42)</f>
        <v>157</v>
      </c>
      <c r="X117" s="34">
        <f>IF(集計表!Z42=0,NA(),集計表!Z42)</f>
        <v>157</v>
      </c>
      <c r="Y117" s="34">
        <f>IF(集計表!AA42=0,NA(),集計表!AA42)</f>
        <v>160</v>
      </c>
      <c r="Z117" s="34">
        <f>IF(集計表!AB42=0,NA(),集計表!AB42)</f>
        <v>156</v>
      </c>
      <c r="AA117" s="34">
        <f>IF(集計表!AC42=0,NA(),集計表!AC42)</f>
        <v>173</v>
      </c>
      <c r="AB117" s="34">
        <f>IF(集計表!AD42=0,NA(),集計表!AD42)</f>
        <v>166</v>
      </c>
      <c r="AC117" s="34" t="e">
        <f>IF(集計表!AE42=0,NA(),集計表!AE42)</f>
        <v>#N/A</v>
      </c>
      <c r="AD117" s="34" t="e">
        <f>IF(集計表!AF42=0,NA(),集計表!AF42)</f>
        <v>#N/A</v>
      </c>
      <c r="AE117" s="34" t="e">
        <f>IF(集計表!AG42=0,NA(),集計表!AG42)</f>
        <v>#N/A</v>
      </c>
      <c r="AF117" s="34" t="e">
        <f>IF(集計表!AH42=0,NA(),集計表!AH42)</f>
        <v>#N/A</v>
      </c>
      <c r="AG117" s="34" t="e">
        <f>IF(集計表!AI42=0,NA(),集計表!AI42)</f>
        <v>#N/A</v>
      </c>
      <c r="AH117" s="34" t="e">
        <f>IF(集計表!AJ42=0,NA(),集計表!AJ42)</f>
        <v>#N/A</v>
      </c>
      <c r="AI117" s="34" t="e">
        <f>IF(集計表!AK42=0,NA(),集計表!AK42)</f>
        <v>#N/A</v>
      </c>
      <c r="AJ117" s="34" t="e">
        <f>IF(集計表!AL42=0,NA(),集計表!AL42)</f>
        <v>#N/A</v>
      </c>
      <c r="AK117" s="34" t="e">
        <f>IF(集計表!AM42=0,NA(),集計表!AM42)</f>
        <v>#N/A</v>
      </c>
      <c r="AL117" s="34" t="e">
        <f>IF(集計表!AN42=0,NA(),集計表!AN42)</f>
        <v>#N/A</v>
      </c>
      <c r="AM117" s="34" t="e">
        <f>IF(集計表!AO42=0,NA(),集計表!AO42)</f>
        <v>#N/A</v>
      </c>
      <c r="AN117" s="34" t="e">
        <f>IF(集計表!AP42=0,NA(),集計表!AP42)</f>
        <v>#N/A</v>
      </c>
      <c r="AO117" s="34" t="e">
        <f>IF(集計表!AQ42=0,NA(),集計表!AQ42)</f>
        <v>#N/A</v>
      </c>
      <c r="AP117" s="34" t="e">
        <f>IF(集計表!AR42=0,NA(),集計表!AR42)</f>
        <v>#N/A</v>
      </c>
      <c r="AQ117" s="34" t="e">
        <f>IF(集計表!AS42=0,NA(),集計表!AS42)</f>
        <v>#N/A</v>
      </c>
      <c r="AR117" s="34" t="e">
        <f>IF(集計表!AT42=0,NA(),集計表!AT42)</f>
        <v>#N/A</v>
      </c>
    </row>
    <row r="118" spans="1:45" ht="13.5" customHeight="1" x14ac:dyDescent="0.2">
      <c r="A118" s="54" t="s">
        <v>2</v>
      </c>
      <c r="B118" s="34">
        <f>集計表!D43</f>
        <v>140</v>
      </c>
      <c r="C118" s="34">
        <f>集計表!E43</f>
        <v>140</v>
      </c>
      <c r="D118" s="34">
        <f>集計表!F43</f>
        <v>140</v>
      </c>
      <c r="E118" s="34">
        <f>集計表!G43</f>
        <v>140</v>
      </c>
      <c r="F118" s="34">
        <f>集計表!H43</f>
        <v>140</v>
      </c>
      <c r="G118" s="34">
        <f>集計表!I43</f>
        <v>140</v>
      </c>
      <c r="H118" s="34">
        <f>集計表!J43</f>
        <v>140</v>
      </c>
      <c r="I118" s="34">
        <f>集計表!K43</f>
        <v>143</v>
      </c>
      <c r="J118" s="34">
        <f>集計表!L43</f>
        <v>143</v>
      </c>
      <c r="K118" s="34">
        <f>集計表!M43</f>
        <v>143</v>
      </c>
      <c r="L118" s="34">
        <f>集計表!N43</f>
        <v>143</v>
      </c>
      <c r="M118" s="34">
        <f>集計表!O43</f>
        <v>143</v>
      </c>
      <c r="N118" s="34">
        <f>集計表!P43</f>
        <v>143</v>
      </c>
      <c r="O118" s="34">
        <f>集計表!Q43</f>
        <v>143</v>
      </c>
      <c r="P118" s="34">
        <f>集計表!R43</f>
        <v>143</v>
      </c>
      <c r="Q118" s="34">
        <f>集計表!S43</f>
        <v>138</v>
      </c>
      <c r="R118" s="34">
        <f>集計表!T43</f>
        <v>138</v>
      </c>
      <c r="S118" s="34">
        <f>集計表!U43</f>
        <v>138</v>
      </c>
      <c r="T118" s="34">
        <f>集計表!V43</f>
        <v>138</v>
      </c>
      <c r="U118" s="34">
        <f>集計表!W43</f>
        <v>138</v>
      </c>
      <c r="V118" s="34">
        <f>集計表!X43</f>
        <v>138</v>
      </c>
      <c r="W118" s="34">
        <f>集計表!Y43</f>
        <v>138</v>
      </c>
      <c r="X118" s="34">
        <f>集計表!Z43</f>
        <v>147</v>
      </c>
      <c r="Y118" s="34">
        <f>集計表!AA43</f>
        <v>147</v>
      </c>
      <c r="Z118" s="34">
        <f>集計表!AB43</f>
        <v>147</v>
      </c>
      <c r="AA118" s="34">
        <f>集計表!AC43</f>
        <v>147</v>
      </c>
      <c r="AB118" s="34">
        <f>集計表!AD43</f>
        <v>147</v>
      </c>
      <c r="AC118" s="34">
        <f>集計表!AE43</f>
        <v>147</v>
      </c>
      <c r="AD118" s="34">
        <f>集計表!AF43</f>
        <v>147</v>
      </c>
      <c r="AE118" s="34">
        <f>集計表!AG43</f>
        <v>172</v>
      </c>
      <c r="AF118" s="34">
        <f>集計表!AH43</f>
        <v>172</v>
      </c>
      <c r="AG118" s="34">
        <f>集計表!AI43</f>
        <v>172</v>
      </c>
      <c r="AH118" s="34">
        <f>集計表!AJ43</f>
        <v>172</v>
      </c>
      <c r="AI118" s="34">
        <f>集計表!AK43</f>
        <v>172</v>
      </c>
      <c r="AJ118" s="34">
        <f>集計表!AL43</f>
        <v>172</v>
      </c>
      <c r="AK118" s="34">
        <f>集計表!AM43</f>
        <v>167</v>
      </c>
      <c r="AL118" s="34">
        <f>集計表!AN43</f>
        <v>167</v>
      </c>
      <c r="AM118" s="34">
        <f>集計表!AO43</f>
        <v>167</v>
      </c>
      <c r="AN118" s="34">
        <f>集計表!AP43</f>
        <v>167</v>
      </c>
      <c r="AO118" s="34">
        <f>集計表!AQ43</f>
        <v>167</v>
      </c>
      <c r="AP118" s="34">
        <f>集計表!AR43</f>
        <v>167</v>
      </c>
      <c r="AQ118" s="34">
        <f>集計表!AS43</f>
        <v>167</v>
      </c>
      <c r="AR118" s="34">
        <f>集計表!AT43</f>
        <v>167</v>
      </c>
    </row>
    <row r="119" spans="1:45" ht="13.5" customHeight="1" x14ac:dyDescent="0.2">
      <c r="A119" s="55" t="s">
        <v>20</v>
      </c>
      <c r="B119" s="56">
        <f>IFERROR(B117/B118, "")</f>
        <v>1.0071428571428571</v>
      </c>
      <c r="C119" s="56">
        <f t="shared" ref="C119:AM119" si="8">IFERROR(C117/C118, "")</f>
        <v>1.0071428571428571</v>
      </c>
      <c r="D119" s="56">
        <f t="shared" si="8"/>
        <v>0.9642857142857143</v>
      </c>
      <c r="E119" s="56">
        <f t="shared" si="8"/>
        <v>1.0785714285714285</v>
      </c>
      <c r="F119" s="56">
        <f t="shared" si="8"/>
        <v>1.1357142857142857</v>
      </c>
      <c r="G119" s="56">
        <f t="shared" si="8"/>
        <v>1.1357142857142857</v>
      </c>
      <c r="H119" s="56">
        <f t="shared" si="8"/>
        <v>1.2</v>
      </c>
      <c r="I119" s="56">
        <f t="shared" si="8"/>
        <v>1.1118881118881119</v>
      </c>
      <c r="J119" s="56">
        <f t="shared" si="8"/>
        <v>1.1468531468531469</v>
      </c>
      <c r="K119" s="56">
        <f t="shared" si="8"/>
        <v>1.1468531468531469</v>
      </c>
      <c r="L119" s="56">
        <f t="shared" si="8"/>
        <v>1.06993006993007</v>
      </c>
      <c r="M119" s="56">
        <f t="shared" si="8"/>
        <v>1.1468531468531469</v>
      </c>
      <c r="N119" s="56">
        <f t="shared" si="8"/>
        <v>1.06993006993007</v>
      </c>
      <c r="O119" s="56">
        <f t="shared" si="8"/>
        <v>1.083916083916084</v>
      </c>
      <c r="P119" s="57">
        <f t="shared" si="8"/>
        <v>1.06993006993007</v>
      </c>
      <c r="Q119" s="57">
        <f t="shared" si="8"/>
        <v>1.1086956521739131</v>
      </c>
      <c r="R119" s="57">
        <f t="shared" si="8"/>
        <v>1.144927536231884</v>
      </c>
      <c r="S119" s="56">
        <f t="shared" si="8"/>
        <v>1.1376811594202898</v>
      </c>
      <c r="T119" s="56">
        <f t="shared" si="8"/>
        <v>1.1594202898550725</v>
      </c>
      <c r="U119" s="56">
        <f t="shared" si="8"/>
        <v>1.2318840579710144</v>
      </c>
      <c r="V119" s="56">
        <f t="shared" si="8"/>
        <v>1.2536231884057971</v>
      </c>
      <c r="W119" s="56">
        <f t="shared" si="8"/>
        <v>1.1376811594202898</v>
      </c>
      <c r="X119" s="57">
        <f t="shared" si="8"/>
        <v>1.0680272108843538</v>
      </c>
      <c r="Y119" s="56">
        <f t="shared" si="8"/>
        <v>1.08843537414966</v>
      </c>
      <c r="Z119" s="56">
        <f t="shared" si="8"/>
        <v>1.0612244897959184</v>
      </c>
      <c r="AA119" s="56">
        <f t="shared" si="8"/>
        <v>1.1768707482993197</v>
      </c>
      <c r="AB119" s="56">
        <f t="shared" si="8"/>
        <v>1.129251700680272</v>
      </c>
      <c r="AC119" s="56" t="str">
        <f t="shared" si="8"/>
        <v/>
      </c>
      <c r="AD119" s="56" t="str">
        <f t="shared" si="8"/>
        <v/>
      </c>
      <c r="AE119" s="56" t="str">
        <f t="shared" si="8"/>
        <v/>
      </c>
      <c r="AF119" s="56" t="str">
        <f t="shared" si="8"/>
        <v/>
      </c>
      <c r="AG119" s="56" t="str">
        <f t="shared" si="8"/>
        <v/>
      </c>
      <c r="AH119" s="56" t="str">
        <f t="shared" si="8"/>
        <v/>
      </c>
      <c r="AI119" s="56" t="str">
        <f t="shared" si="8"/>
        <v/>
      </c>
      <c r="AJ119" s="57" t="str">
        <f t="shared" si="8"/>
        <v/>
      </c>
      <c r="AK119" s="57" t="str">
        <f t="shared" si="8"/>
        <v/>
      </c>
      <c r="AL119" s="57" t="str">
        <f t="shared" si="8"/>
        <v/>
      </c>
      <c r="AM119" s="56" t="str">
        <f t="shared" si="8"/>
        <v/>
      </c>
      <c r="AN119" s="57" t="str">
        <f t="shared" ref="AN119:AO119" si="9">IFERROR(AN117/AN118, "")</f>
        <v/>
      </c>
      <c r="AO119" s="56" t="str">
        <f t="shared" si="9"/>
        <v/>
      </c>
      <c r="AP119" s="56" t="str">
        <f t="shared" ref="AP119:AQ119" si="10">IFERROR(AP117/AP118, "")</f>
        <v/>
      </c>
      <c r="AQ119" s="56" t="str">
        <f t="shared" si="10"/>
        <v/>
      </c>
      <c r="AR119" s="56" t="str">
        <f t="shared" ref="AR119" si="11">IFERROR(AR117/AR118, "")</f>
        <v/>
      </c>
    </row>
    <row r="120" spans="1:45" s="38" customFormat="1" ht="30" customHeight="1" x14ac:dyDescent="0.2">
      <c r="A120" s="38" t="s">
        <v>24</v>
      </c>
      <c r="B120" s="39"/>
      <c r="C120" s="39"/>
      <c r="D120" s="40"/>
      <c r="E120" s="39"/>
      <c r="F120" s="41"/>
      <c r="G120" s="39"/>
      <c r="H120" s="39"/>
      <c r="I120" s="39"/>
      <c r="J120" s="39"/>
      <c r="K120" s="42"/>
      <c r="L120" s="39"/>
      <c r="M120" s="42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Q120"/>
      <c r="AR120"/>
      <c r="AS120"/>
    </row>
    <row r="121" spans="1:45" ht="15.6" x14ac:dyDescent="0.2">
      <c r="A121" s="23" t="s">
        <v>11</v>
      </c>
      <c r="B121" s="13"/>
      <c r="C121" s="13"/>
      <c r="D121" s="13"/>
      <c r="E121" s="13"/>
      <c r="F121" s="13"/>
      <c r="G121" s="13"/>
      <c r="H121" s="13"/>
      <c r="I121" s="13"/>
      <c r="J121" s="13"/>
      <c r="L121" s="13" t="str">
        <f>TEXT(集計表!$C$1,"(e.m/d～)")</f>
        <v>(8.6/1～)</v>
      </c>
      <c r="M121" s="13"/>
      <c r="N121" s="13"/>
    </row>
    <row r="122" spans="1:45" ht="15.6" x14ac:dyDescent="0.2">
      <c r="A122" s="23" t="s">
        <v>15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53" spans="1:44" ht="12" customHeight="1" x14ac:dyDescent="0.2"/>
    <row r="154" spans="1:44" s="46" customFormat="1" ht="15.9" customHeight="1" x14ac:dyDescent="0.2">
      <c r="B154" s="45"/>
      <c r="C154" s="45"/>
      <c r="E154" s="45"/>
      <c r="F154" s="44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S154" s="45"/>
      <c r="T154" s="45"/>
      <c r="U154" s="45"/>
      <c r="V154" s="45"/>
      <c r="X154" s="45"/>
      <c r="Y154" s="45"/>
      <c r="Z154" s="45"/>
      <c r="AA154" s="44"/>
      <c r="AC154" s="45"/>
      <c r="AD154" s="45"/>
      <c r="AE154" s="45"/>
      <c r="AF154" s="45"/>
      <c r="AG154" s="45"/>
      <c r="AH154" s="45"/>
      <c r="AI154" s="45"/>
      <c r="AJ154" s="49"/>
      <c r="AK154" s="45"/>
      <c r="AN154" s="49"/>
      <c r="AO154" s="45"/>
      <c r="AP154" s="45"/>
      <c r="AR154" s="44"/>
    </row>
    <row r="155" spans="1:44" x14ac:dyDescent="0.2">
      <c r="A155" s="50">
        <f>集計表!C45</f>
        <v>46174</v>
      </c>
      <c r="B155" s="63" t="str">
        <f>集計表!D45</f>
        <v>6/1</v>
      </c>
      <c r="C155" s="64" t="str">
        <f>集計表!E45</f>
        <v>2</v>
      </c>
      <c r="D155" s="64" t="str">
        <f>集計表!F45</f>
        <v>4</v>
      </c>
      <c r="E155" s="64" t="str">
        <f>集計表!G45</f>
        <v>5</v>
      </c>
      <c r="F155" s="64" t="str">
        <f>集計表!H45</f>
        <v>6</v>
      </c>
      <c r="G155" s="64" t="str">
        <f>集計表!I45</f>
        <v>8</v>
      </c>
      <c r="H155" s="64" t="str">
        <f>集計表!J45</f>
        <v>9</v>
      </c>
      <c r="I155" s="64" t="str">
        <f>集計表!K45</f>
        <v>11</v>
      </c>
      <c r="J155" s="64" t="str">
        <f>集計表!L45</f>
        <v>12</v>
      </c>
      <c r="K155" s="64" t="str">
        <f>集計表!M45</f>
        <v>13</v>
      </c>
      <c r="L155" s="64" t="str">
        <f>集計表!N45</f>
        <v>15</v>
      </c>
      <c r="M155" s="64" t="str">
        <f>集計表!O45</f>
        <v>16</v>
      </c>
      <c r="N155" s="64" t="str">
        <f>集計表!P45</f>
        <v>18</v>
      </c>
      <c r="O155" s="64" t="str">
        <f>集計表!Q45</f>
        <v>19</v>
      </c>
      <c r="P155" s="64" t="str">
        <f>集計表!R45</f>
        <v>20</v>
      </c>
      <c r="Q155" s="64" t="str">
        <f>集計表!S45</f>
        <v>22</v>
      </c>
      <c r="R155" s="64" t="str">
        <f>集計表!T45</f>
        <v>23</v>
      </c>
      <c r="S155" s="64" t="str">
        <f>集計表!U45</f>
        <v>25</v>
      </c>
      <c r="T155" s="64" t="str">
        <f>集計表!V45</f>
        <v>26</v>
      </c>
      <c r="U155" s="64" t="str">
        <f>集計表!W45</f>
        <v>27</v>
      </c>
      <c r="V155" s="64" t="str">
        <f>集計表!X45</f>
        <v>29</v>
      </c>
      <c r="W155" s="65" t="str">
        <f>集計表!Y45</f>
        <v>30</v>
      </c>
      <c r="X155" s="64" t="str">
        <f>集計表!Z45</f>
        <v>7/2</v>
      </c>
      <c r="Y155" s="64" t="str">
        <f>集計表!AA45</f>
        <v>3</v>
      </c>
      <c r="Z155" s="64" t="str">
        <f>集計表!AB45</f>
        <v>4</v>
      </c>
      <c r="AA155" s="64" t="str">
        <f>集計表!AC45</f>
        <v>6</v>
      </c>
      <c r="AB155" s="64" t="str">
        <f>集計表!AD45</f>
        <v>7</v>
      </c>
      <c r="AC155" s="64" t="str">
        <f>集計表!AE45</f>
        <v>9</v>
      </c>
      <c r="AD155" s="65" t="str">
        <f>集計表!AF45</f>
        <v>10</v>
      </c>
      <c r="AE155" s="64" t="str">
        <f>集計表!AG45</f>
        <v>11</v>
      </c>
      <c r="AF155" s="64" t="str">
        <f>集計表!AH45</f>
        <v>13</v>
      </c>
      <c r="AG155" s="64" t="str">
        <f>集計表!AI45</f>
        <v>14</v>
      </c>
      <c r="AH155" s="64" t="str">
        <f>集計表!AJ45</f>
        <v>16</v>
      </c>
      <c r="AI155" s="64" t="str">
        <f>集計表!AK45</f>
        <v>17</v>
      </c>
      <c r="AJ155" s="64" t="str">
        <f>集計表!AL45</f>
        <v>18</v>
      </c>
      <c r="AK155" s="64" t="str">
        <f>集計表!AM45</f>
        <v>21</v>
      </c>
      <c r="AL155" s="64" t="str">
        <f>集計表!AN45</f>
        <v>23</v>
      </c>
      <c r="AM155" s="64" t="str">
        <f>集計表!AO45</f>
        <v>24</v>
      </c>
      <c r="AN155" s="64" t="str">
        <f>集計表!AP45</f>
        <v>25</v>
      </c>
      <c r="AO155" s="64" t="str">
        <f>集計表!AQ45</f>
        <v>27</v>
      </c>
      <c r="AP155" s="64" t="str">
        <f>集計表!AR45</f>
        <v>28</v>
      </c>
      <c r="AQ155" s="64" t="str">
        <f>集計表!AS45</f>
        <v>30</v>
      </c>
      <c r="AR155" s="64" t="str">
        <f>集計表!AT45</f>
        <v>31</v>
      </c>
    </row>
    <row r="156" spans="1:44" x14ac:dyDescent="0.2">
      <c r="A156" s="54" t="s">
        <v>0</v>
      </c>
      <c r="B156" s="34">
        <f>IF(集計表!D47="","",集計表!D47)</f>
        <v>48.38</v>
      </c>
      <c r="C156" s="34">
        <f>IF(集計表!E47="","",集計表!E47)</f>
        <v>52.14</v>
      </c>
      <c r="D156" s="34">
        <f>IF(集計表!F47="","",集計表!F47)</f>
        <v>49.55</v>
      </c>
      <c r="E156" s="34">
        <f>IF(集計表!G47="","",集計表!G47)</f>
        <v>43.97</v>
      </c>
      <c r="F156" s="34">
        <f>IF(集計表!H47="","",集計表!H47)</f>
        <v>68.667000000000002</v>
      </c>
      <c r="G156" s="34">
        <f>IF(集計表!I47="","",集計表!I47)</f>
        <v>44.33</v>
      </c>
      <c r="H156" s="34">
        <f>IF(集計表!J47="","",集計表!J47)</f>
        <v>48.23</v>
      </c>
      <c r="I156" s="34">
        <f>IF(集計表!K47="","",集計表!K47)</f>
        <v>46.292999999999999</v>
      </c>
      <c r="J156" s="34">
        <f>IF(集計表!L47="","",集計表!L47)</f>
        <v>46.03</v>
      </c>
      <c r="K156" s="34">
        <f>IF(集計表!M47="","",集計表!M47)</f>
        <v>69.3</v>
      </c>
      <c r="L156" s="34">
        <f>IF(集計表!N47="","",集計表!N47)</f>
        <v>44.61</v>
      </c>
      <c r="M156" s="34">
        <f>IF(集計表!O47="","",集計表!O47)</f>
        <v>41.57</v>
      </c>
      <c r="N156" s="34">
        <f>IF(集計表!P47="","",集計表!P47)</f>
        <v>49.613999999999997</v>
      </c>
      <c r="O156" s="34">
        <f>IF(集計表!Q47="","",集計表!Q47)</f>
        <v>45.658000000000001</v>
      </c>
      <c r="P156" s="34">
        <f>IF(集計表!R47="","",集計表!R47)</f>
        <v>42.59</v>
      </c>
      <c r="Q156" s="34">
        <f>IF(集計表!S47="","",集計表!S47)</f>
        <v>70.19</v>
      </c>
      <c r="R156" s="34">
        <f>IF(集計表!T47="","",集計表!T47)</f>
        <v>46.77</v>
      </c>
      <c r="S156" s="34">
        <f>IF(集計表!U47="","",集計表!U47)</f>
        <v>40.304000000000002</v>
      </c>
      <c r="T156" s="34">
        <f>IF(集計表!V47="","",集計表!V47)</f>
        <v>43.44</v>
      </c>
      <c r="U156" s="34">
        <f>IF(集計表!W47="","",集計表!W47)</f>
        <v>38.713999999999999</v>
      </c>
      <c r="V156" s="34">
        <f>IF(集計表!X47="","",集計表!X47)</f>
        <v>42.976999999999997</v>
      </c>
      <c r="W156" s="36">
        <f>IF(集計表!Y47="","",集計表!Y47)</f>
        <v>42.89</v>
      </c>
      <c r="X156" s="34">
        <f>IF(集計表!Z47="","",集計表!Z47)</f>
        <v>51.314999999999998</v>
      </c>
      <c r="Y156" s="34">
        <f>IF(集計表!AA47="","",集計表!AA47)</f>
        <v>45.963999999999999</v>
      </c>
      <c r="Z156" s="34">
        <f>IF(集計表!AB47="","",集計表!AB47)</f>
        <v>52.316000000000003</v>
      </c>
      <c r="AA156" s="34">
        <f>IF(集計表!AC47="","",集計表!AC47)</f>
        <v>64.709999999999994</v>
      </c>
      <c r="AB156" s="34">
        <f>IF(集計表!AD47="","",集計表!AD47)</f>
        <v>44.35</v>
      </c>
      <c r="AC156" s="34" t="str">
        <f>IF(集計表!AE47="","",集計表!AE47)</f>
        <v/>
      </c>
      <c r="AD156" s="43" t="str">
        <f>IF(集計表!AF47="","",集計表!AF47)</f>
        <v/>
      </c>
      <c r="AE156" s="34" t="str">
        <f>IF(集計表!AG47="","",集計表!AG47)</f>
        <v/>
      </c>
      <c r="AF156" s="34" t="str">
        <f>IF(集計表!AH47="","",集計表!AH47)</f>
        <v/>
      </c>
      <c r="AG156" s="34" t="str">
        <f>IF(集計表!AI47="","",集計表!AI47)</f>
        <v/>
      </c>
      <c r="AH156" s="34" t="str">
        <f>IF(集計表!AJ47="","",集計表!AJ47)</f>
        <v/>
      </c>
      <c r="AI156" s="34" t="str">
        <f>IF(集計表!AK47="","",集計表!AK47)</f>
        <v/>
      </c>
      <c r="AJ156" s="34" t="str">
        <f>IF(集計表!AL47="","",集計表!AL47)</f>
        <v/>
      </c>
      <c r="AK156" s="34" t="str">
        <f>IF(集計表!AM47="","",集計表!AM47)</f>
        <v/>
      </c>
      <c r="AL156" s="34" t="str">
        <f>IF(集計表!AN47="","",集計表!AN47)</f>
        <v/>
      </c>
      <c r="AM156" s="34" t="str">
        <f>IF(集計表!AO47="","",集計表!AO47)</f>
        <v/>
      </c>
      <c r="AN156" s="34" t="str">
        <f>IF(集計表!AP47="","",集計表!AP47)</f>
        <v/>
      </c>
      <c r="AO156" s="34" t="str">
        <f>IF(集計表!AQ47="","",集計表!AQ47)</f>
        <v/>
      </c>
      <c r="AP156" s="34" t="str">
        <f>IF(集計表!AR47="","",集計表!AR47)</f>
        <v/>
      </c>
      <c r="AQ156" s="34" t="str">
        <f>IF(集計表!AS47="","",集計表!AS47)</f>
        <v/>
      </c>
      <c r="AR156" s="34" t="str">
        <f>IF(集計表!AT47="","",集計表!AT47)</f>
        <v/>
      </c>
    </row>
    <row r="157" spans="1:44" x14ac:dyDescent="0.2">
      <c r="A157" s="54" t="s">
        <v>1</v>
      </c>
      <c r="B157" s="34">
        <f>IF(集計表!D48=0,NA(),集計表!D48)</f>
        <v>122</v>
      </c>
      <c r="C157" s="34">
        <f>IF(集計表!E48=0,NA(),集計表!E48)</f>
        <v>135</v>
      </c>
      <c r="D157" s="34">
        <f>IF(集計表!F48=0,NA(),集計表!F48)</f>
        <v>133</v>
      </c>
      <c r="E157" s="34">
        <f>IF(集計表!G48=0,NA(),集計表!G48)</f>
        <v>130</v>
      </c>
      <c r="F157" s="34">
        <f>IF(集計表!H48=0,NA(),集計表!H48)</f>
        <v>114</v>
      </c>
      <c r="G157" s="34">
        <f>IF(集計表!I48=0,NA(),集計表!I48)</f>
        <v>138</v>
      </c>
      <c r="H157" s="34">
        <f>IF(集計表!J48=0,NA(),集計表!J48)</f>
        <v>139</v>
      </c>
      <c r="I157" s="34">
        <f>IF(集計表!K48=0,NA(),集計表!K48)</f>
        <v>136</v>
      </c>
      <c r="J157" s="34">
        <f>IF(集計表!L48=0,NA(),集計表!L48)</f>
        <v>136</v>
      </c>
      <c r="K157" s="34">
        <f>IF(集計表!M48=0,NA(),集計表!M48)</f>
        <v>125</v>
      </c>
      <c r="L157" s="34">
        <f>IF(集計表!N48=0,NA(),集計表!N48)</f>
        <v>131</v>
      </c>
      <c r="M157" s="34">
        <f>IF(集計表!O48=0,NA(),集計表!O48)</f>
        <v>144</v>
      </c>
      <c r="N157" s="34">
        <f>IF(集計表!P48=0,NA(),集計表!P48)</f>
        <v>129</v>
      </c>
      <c r="O157" s="34">
        <f>IF(集計表!Q48=0,NA(),集計表!Q48)</f>
        <v>124</v>
      </c>
      <c r="P157" s="34">
        <f>IF(集計表!R48=0,NA(),集計表!R48)</f>
        <v>126</v>
      </c>
      <c r="Q157" s="34">
        <f>IF(集計表!S48=0,NA(),集計表!S48)</f>
        <v>128</v>
      </c>
      <c r="R157" s="34">
        <f>IF(集計表!T48=0,NA(),集計表!T48)</f>
        <v>136</v>
      </c>
      <c r="S157" s="34">
        <f>IF(集計表!U48=0,NA(),集計表!U48)</f>
        <v>150</v>
      </c>
      <c r="T157" s="34">
        <f>IF(集計表!V48=0,NA(),集計表!V48)</f>
        <v>149</v>
      </c>
      <c r="U157" s="34">
        <f>IF(集計表!W48=0,NA(),集計表!W48)</f>
        <v>138</v>
      </c>
      <c r="V157" s="34">
        <f>IF(集計表!X48=0,NA(),集計表!X48)</f>
        <v>174</v>
      </c>
      <c r="W157" s="36">
        <f>IF(集計表!Y48=0,NA(),集計表!Y48)</f>
        <v>160</v>
      </c>
      <c r="X157" s="34">
        <f>IF(集計表!Z48=0,NA(),集計表!Z48)</f>
        <v>164</v>
      </c>
      <c r="Y157" s="34">
        <f>IF(集計表!AA48=0,NA(),集計表!AA48)</f>
        <v>163</v>
      </c>
      <c r="Z157" s="34">
        <f>IF(集計表!AB48=0,NA(),集計表!AB48)</f>
        <v>163</v>
      </c>
      <c r="AA157" s="34">
        <f>IF(集計表!AC48=0,NA(),集計表!AC48)</f>
        <v>162</v>
      </c>
      <c r="AB157" s="34">
        <f>IF(集計表!AD48=0,NA(),集計表!AD48)</f>
        <v>162</v>
      </c>
      <c r="AC157" s="34" t="e">
        <f>IF(集計表!AE48=0,NA(),集計表!AE48)</f>
        <v>#N/A</v>
      </c>
      <c r="AD157" s="43" t="e">
        <f>IF(集計表!AF48=0,NA(),集計表!AF48)</f>
        <v>#N/A</v>
      </c>
      <c r="AE157" s="34" t="e">
        <f>IF(集計表!AG48=0,NA(),集計表!AG48)</f>
        <v>#N/A</v>
      </c>
      <c r="AF157" s="34" t="e">
        <f>IF(集計表!AH48=0,NA(),集計表!AH48)</f>
        <v>#N/A</v>
      </c>
      <c r="AG157" s="34" t="e">
        <f>IF(集計表!AI48=0,NA(),集計表!AI48)</f>
        <v>#N/A</v>
      </c>
      <c r="AH157" s="34" t="e">
        <f>IF(集計表!AJ48=0,NA(),集計表!AJ48)</f>
        <v>#N/A</v>
      </c>
      <c r="AI157" s="34" t="e">
        <f>IF(集計表!AK48=0,NA(),集計表!AK48)</f>
        <v>#N/A</v>
      </c>
      <c r="AJ157" s="34" t="e">
        <f>IF(集計表!AL48=0,NA(),集計表!AL48)</f>
        <v>#N/A</v>
      </c>
      <c r="AK157" s="34" t="e">
        <f>IF(集計表!AM48=0,NA(),集計表!AM48)</f>
        <v>#N/A</v>
      </c>
      <c r="AL157" s="34" t="e">
        <f>IF(集計表!AN48=0,NA(),集計表!AN48)</f>
        <v>#N/A</v>
      </c>
      <c r="AM157" s="34" t="e">
        <f>IF(集計表!AO48=0,NA(),集計表!AO48)</f>
        <v>#N/A</v>
      </c>
      <c r="AN157" s="34" t="e">
        <f>IF(集計表!AP48=0,NA(),集計表!AP48)</f>
        <v>#N/A</v>
      </c>
      <c r="AO157" s="34" t="e">
        <f>IF(集計表!AQ48=0,NA(),集計表!AQ48)</f>
        <v>#N/A</v>
      </c>
      <c r="AP157" s="34" t="e">
        <f>IF(集計表!AR48=0,NA(),集計表!AR48)</f>
        <v>#N/A</v>
      </c>
      <c r="AQ157" s="34" t="e">
        <f>IF(集計表!AS48=0,NA(),集計表!AS48)</f>
        <v>#N/A</v>
      </c>
      <c r="AR157" s="34" t="e">
        <f>IF(集計表!AT48=0,NA(),集計表!AT48)</f>
        <v>#N/A</v>
      </c>
    </row>
    <row r="158" spans="1:44" x14ac:dyDescent="0.2">
      <c r="A158" s="54" t="s">
        <v>2</v>
      </c>
      <c r="B158" s="34">
        <f>集計表!D49</f>
        <v>128</v>
      </c>
      <c r="C158" s="34">
        <f>集計表!E49</f>
        <v>128</v>
      </c>
      <c r="D158" s="34">
        <f>集計表!F49</f>
        <v>128</v>
      </c>
      <c r="E158" s="34">
        <f>集計表!G49</f>
        <v>128</v>
      </c>
      <c r="F158" s="34">
        <f>集計表!H49</f>
        <v>128</v>
      </c>
      <c r="G158" s="34">
        <f>集計表!I49</f>
        <v>128</v>
      </c>
      <c r="H158" s="34">
        <f>集計表!J49</f>
        <v>128</v>
      </c>
      <c r="I158" s="34">
        <f>集計表!K49</f>
        <v>133</v>
      </c>
      <c r="J158" s="34">
        <f>集計表!L49</f>
        <v>133</v>
      </c>
      <c r="K158" s="34">
        <f>集計表!M49</f>
        <v>133</v>
      </c>
      <c r="L158" s="34">
        <f>集計表!N49</f>
        <v>133</v>
      </c>
      <c r="M158" s="34">
        <f>集計表!O49</f>
        <v>133</v>
      </c>
      <c r="N158" s="34">
        <f>集計表!P49</f>
        <v>133</v>
      </c>
      <c r="O158" s="34">
        <f>集計表!Q49</f>
        <v>133</v>
      </c>
      <c r="P158" s="34">
        <f>集計表!R49</f>
        <v>133</v>
      </c>
      <c r="Q158" s="34">
        <f>集計表!S49</f>
        <v>127</v>
      </c>
      <c r="R158" s="34">
        <f>集計表!T49</f>
        <v>127</v>
      </c>
      <c r="S158" s="34">
        <f>集計表!U49</f>
        <v>127</v>
      </c>
      <c r="T158" s="34">
        <f>集計表!V49</f>
        <v>127</v>
      </c>
      <c r="U158" s="34">
        <f>集計表!W49</f>
        <v>127</v>
      </c>
      <c r="V158" s="34">
        <f>集計表!X49</f>
        <v>127</v>
      </c>
      <c r="W158" s="36">
        <f>集計表!Y49</f>
        <v>127</v>
      </c>
      <c r="X158" s="34">
        <f>集計表!Z49</f>
        <v>148</v>
      </c>
      <c r="Y158" s="34">
        <f>集計表!AA49</f>
        <v>148</v>
      </c>
      <c r="Z158" s="34">
        <f>集計表!AB49</f>
        <v>148</v>
      </c>
      <c r="AA158" s="34">
        <f>集計表!AC49</f>
        <v>148</v>
      </c>
      <c r="AB158" s="34">
        <f>集計表!AD49</f>
        <v>148</v>
      </c>
      <c r="AC158" s="34">
        <f>集計表!AE49</f>
        <v>148</v>
      </c>
      <c r="AD158" s="43">
        <f>集計表!AF49</f>
        <v>148</v>
      </c>
      <c r="AE158" s="34">
        <f>集計表!AG49</f>
        <v>159</v>
      </c>
      <c r="AF158" s="34">
        <f>集計表!AH49</f>
        <v>159</v>
      </c>
      <c r="AG158" s="34">
        <f>集計表!AI49</f>
        <v>159</v>
      </c>
      <c r="AH158" s="34">
        <f>集計表!AJ49</f>
        <v>159</v>
      </c>
      <c r="AI158" s="34">
        <f>集計表!AK49</f>
        <v>159</v>
      </c>
      <c r="AJ158" s="34">
        <f>集計表!AL49</f>
        <v>159</v>
      </c>
      <c r="AK158" s="34">
        <f>集計表!AM49</f>
        <v>164</v>
      </c>
      <c r="AL158" s="34">
        <f>集計表!AN49</f>
        <v>164</v>
      </c>
      <c r="AM158" s="34">
        <f>集計表!AO49</f>
        <v>164</v>
      </c>
      <c r="AN158" s="34">
        <f>集計表!AP49</f>
        <v>164</v>
      </c>
      <c r="AO158" s="34">
        <f>集計表!AQ49</f>
        <v>164</v>
      </c>
      <c r="AP158" s="34">
        <f>集計表!AR49</f>
        <v>164</v>
      </c>
      <c r="AQ158" s="34">
        <f>集計表!AS49</f>
        <v>164</v>
      </c>
      <c r="AR158" s="34">
        <f>集計表!AT49</f>
        <v>164</v>
      </c>
    </row>
    <row r="159" spans="1:44" ht="13.5" customHeight="1" x14ac:dyDescent="0.2">
      <c r="A159" s="55" t="s">
        <v>20</v>
      </c>
      <c r="B159" s="56">
        <f>IFERROR(B157/B158, "")</f>
        <v>0.953125</v>
      </c>
      <c r="C159" s="56">
        <f t="shared" ref="C159:AM159" si="12">IFERROR(C157/C158, "")</f>
        <v>1.0546875</v>
      </c>
      <c r="D159" s="56">
        <f t="shared" si="12"/>
        <v>1.0390625</v>
      </c>
      <c r="E159" s="56">
        <f t="shared" si="12"/>
        <v>1.015625</v>
      </c>
      <c r="F159" s="57">
        <f t="shared" si="12"/>
        <v>0.890625</v>
      </c>
      <c r="G159" s="57">
        <f t="shared" si="12"/>
        <v>1.078125</v>
      </c>
      <c r="H159" s="57">
        <f t="shared" si="12"/>
        <v>1.0859375</v>
      </c>
      <c r="I159" s="57">
        <f t="shared" si="12"/>
        <v>1.0225563909774436</v>
      </c>
      <c r="J159" s="57">
        <f t="shared" si="12"/>
        <v>1.0225563909774436</v>
      </c>
      <c r="K159" s="57">
        <f t="shared" si="12"/>
        <v>0.93984962406015038</v>
      </c>
      <c r="L159" s="57">
        <f t="shared" si="12"/>
        <v>0.98496240601503759</v>
      </c>
      <c r="M159" s="57">
        <f t="shared" si="12"/>
        <v>1.0827067669172932</v>
      </c>
      <c r="N159" s="57">
        <f t="shared" si="12"/>
        <v>0.96992481203007519</v>
      </c>
      <c r="O159" s="57">
        <f t="shared" si="12"/>
        <v>0.93233082706766912</v>
      </c>
      <c r="P159" s="57">
        <f t="shared" si="12"/>
        <v>0.94736842105263153</v>
      </c>
      <c r="Q159" s="56">
        <f t="shared" si="12"/>
        <v>1.0078740157480315</v>
      </c>
      <c r="R159" s="57">
        <f t="shared" si="12"/>
        <v>1.0708661417322836</v>
      </c>
      <c r="S159" s="56">
        <f t="shared" si="12"/>
        <v>1.1811023622047243</v>
      </c>
      <c r="T159" s="56">
        <f t="shared" si="12"/>
        <v>1.1732283464566928</v>
      </c>
      <c r="U159" s="56">
        <f t="shared" si="12"/>
        <v>1.0866141732283465</v>
      </c>
      <c r="V159" s="56">
        <f t="shared" si="12"/>
        <v>1.3700787401574803</v>
      </c>
      <c r="W159" s="56">
        <f t="shared" si="12"/>
        <v>1.2598425196850394</v>
      </c>
      <c r="X159" s="57">
        <f t="shared" si="12"/>
        <v>1.1081081081081081</v>
      </c>
      <c r="Y159" s="56">
        <f t="shared" si="12"/>
        <v>1.1013513513513513</v>
      </c>
      <c r="Z159" s="57">
        <f t="shared" si="12"/>
        <v>1.1013513513513513</v>
      </c>
      <c r="AA159" s="57">
        <f t="shared" si="12"/>
        <v>1.0945945945945945</v>
      </c>
      <c r="AB159" s="57">
        <f t="shared" si="12"/>
        <v>1.0945945945945945</v>
      </c>
      <c r="AC159" s="57" t="str">
        <f t="shared" si="12"/>
        <v/>
      </c>
      <c r="AD159" s="66" t="str">
        <f t="shared" si="12"/>
        <v/>
      </c>
      <c r="AE159" s="57" t="str">
        <f t="shared" si="12"/>
        <v/>
      </c>
      <c r="AF159" s="57" t="str">
        <f t="shared" si="12"/>
        <v/>
      </c>
      <c r="AG159" s="57" t="str">
        <f t="shared" si="12"/>
        <v/>
      </c>
      <c r="AH159" s="57" t="str">
        <f t="shared" si="12"/>
        <v/>
      </c>
      <c r="AI159" s="57" t="str">
        <f t="shared" si="12"/>
        <v/>
      </c>
      <c r="AJ159" s="57" t="str">
        <f t="shared" si="12"/>
        <v/>
      </c>
      <c r="AK159" s="56" t="str">
        <f t="shared" si="12"/>
        <v/>
      </c>
      <c r="AL159" s="56" t="str">
        <f t="shared" si="12"/>
        <v/>
      </c>
      <c r="AM159" s="57" t="str">
        <f t="shared" si="12"/>
        <v/>
      </c>
      <c r="AN159" s="56" t="str">
        <f t="shared" ref="AN159:AO159" si="13">IFERROR(AN157/AN158, "")</f>
        <v/>
      </c>
      <c r="AO159" s="57" t="str">
        <f t="shared" si="13"/>
        <v/>
      </c>
      <c r="AP159" s="57" t="str">
        <f t="shared" ref="AP159:AQ159" si="14">IFERROR(AP157/AP158, "")</f>
        <v/>
      </c>
      <c r="AQ159" s="57" t="str">
        <f t="shared" si="14"/>
        <v/>
      </c>
      <c r="AR159" s="57" t="str">
        <f t="shared" ref="AR159" si="15">IFERROR(AR157/AR158, "")</f>
        <v/>
      </c>
    </row>
    <row r="160" spans="1:44" s="38" customFormat="1" ht="22.5" customHeight="1" x14ac:dyDescent="0.2">
      <c r="A160" s="38" t="s">
        <v>24</v>
      </c>
      <c r="B160" s="39"/>
      <c r="C160" s="39"/>
      <c r="D160" s="40"/>
      <c r="E160" s="39"/>
      <c r="F160" s="41"/>
      <c r="G160" s="39"/>
      <c r="H160" s="39"/>
      <c r="I160" s="39"/>
      <c r="J160" s="39"/>
      <c r="K160" s="42"/>
      <c r="L160" s="39"/>
      <c r="M160" s="42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</row>
  </sheetData>
  <phoneticPr fontId="4"/>
  <conditionalFormatting sqref="B36">
    <cfRule type="expression" dxfId="4" priority="59" stopIfTrue="1">
      <formula>ISERROR(B36)</formula>
    </cfRule>
  </conditionalFormatting>
  <conditionalFormatting sqref="B76">
    <cfRule type="expression" dxfId="3" priority="58" stopIfTrue="1">
      <formula>ISERROR(B76)</formula>
    </cfRule>
  </conditionalFormatting>
  <conditionalFormatting sqref="B116">
    <cfRule type="expression" dxfId="2" priority="57" stopIfTrue="1">
      <formula>ISERROR(B116)</formula>
    </cfRule>
  </conditionalFormatting>
  <conditionalFormatting sqref="B156">
    <cfRule type="expression" dxfId="1" priority="56" stopIfTrue="1">
      <formula>ISERROR(B156)</formula>
    </cfRule>
  </conditionalFormatting>
  <conditionalFormatting sqref="B37:AR37 B77:AR77 B117:AR117 B157:AR157">
    <cfRule type="expression" dxfId="0" priority="63" stopIfTrue="1">
      <formula>ISERROR(B37)</formula>
    </cfRule>
  </conditionalFormatting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3" manualBreakCount="3">
    <brk id="40" max="16383" man="1"/>
    <brk id="80" max="16383" man="1"/>
    <brk id="12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V51"/>
  <sheetViews>
    <sheetView showGridLines="0" zoomScaleNormal="100" workbookViewId="0">
      <pane xSplit="3" topLeftCell="AB1" activePane="topRight" state="frozen"/>
      <selection pane="topRight"/>
    </sheetView>
  </sheetViews>
  <sheetFormatPr defaultRowHeight="13.2" x14ac:dyDescent="0.2"/>
  <cols>
    <col min="3" max="3" width="14.21875" bestFit="1" customWidth="1"/>
    <col min="5" max="5" width="9" customWidth="1"/>
    <col min="25" max="25" width="9" customWidth="1"/>
  </cols>
  <sheetData>
    <row r="1" spans="1:48" x14ac:dyDescent="0.2">
      <c r="A1" s="5" t="s">
        <v>9</v>
      </c>
      <c r="B1" t="s">
        <v>8</v>
      </c>
      <c r="C1" s="20">
        <v>46174</v>
      </c>
      <c r="D1" s="78" t="s">
        <v>46</v>
      </c>
      <c r="E1" s="69" t="s">
        <v>41</v>
      </c>
      <c r="F1" s="69" t="s">
        <v>37</v>
      </c>
      <c r="G1" s="69" t="s">
        <v>47</v>
      </c>
      <c r="H1" s="70" t="s">
        <v>30</v>
      </c>
      <c r="I1" s="69" t="s">
        <v>42</v>
      </c>
      <c r="J1" s="69" t="s">
        <v>21</v>
      </c>
      <c r="K1" s="69" t="s">
        <v>38</v>
      </c>
      <c r="L1" s="69" t="s">
        <v>31</v>
      </c>
      <c r="M1" s="69" t="s">
        <v>27</v>
      </c>
      <c r="N1" s="69" t="s">
        <v>43</v>
      </c>
      <c r="O1" s="69" t="s">
        <v>25</v>
      </c>
      <c r="P1" s="69" t="s">
        <v>39</v>
      </c>
      <c r="Q1" s="69" t="s">
        <v>32</v>
      </c>
      <c r="R1" s="69" t="s">
        <v>28</v>
      </c>
      <c r="S1" s="69" t="s">
        <v>44</v>
      </c>
      <c r="T1" s="69" t="s">
        <v>26</v>
      </c>
      <c r="U1" s="69" t="s">
        <v>40</v>
      </c>
      <c r="V1" s="69" t="s">
        <v>22</v>
      </c>
      <c r="W1" s="69" t="s">
        <v>29</v>
      </c>
      <c r="X1" s="69" t="s">
        <v>45</v>
      </c>
      <c r="Y1" s="69" t="s">
        <v>33</v>
      </c>
      <c r="Z1" s="69" t="s">
        <v>48</v>
      </c>
      <c r="AA1" s="71" t="s">
        <v>49</v>
      </c>
      <c r="AB1" s="71" t="s">
        <v>37</v>
      </c>
      <c r="AC1" s="71" t="s">
        <v>30</v>
      </c>
      <c r="AD1" s="72" t="s">
        <v>34</v>
      </c>
      <c r="AE1" s="72" t="s">
        <v>21</v>
      </c>
      <c r="AF1" s="72" t="s">
        <v>50</v>
      </c>
      <c r="AG1" s="72" t="s">
        <v>38</v>
      </c>
      <c r="AH1" s="72" t="s">
        <v>27</v>
      </c>
      <c r="AI1" s="72" t="s">
        <v>35</v>
      </c>
      <c r="AJ1" s="72" t="s">
        <v>25</v>
      </c>
      <c r="AK1" s="72" t="s">
        <v>51</v>
      </c>
      <c r="AL1" s="72" t="s">
        <v>39</v>
      </c>
      <c r="AM1" s="72" t="s">
        <v>36</v>
      </c>
      <c r="AN1" s="73" t="s">
        <v>26</v>
      </c>
      <c r="AO1" s="69" t="s">
        <v>52</v>
      </c>
      <c r="AP1" s="69" t="s">
        <v>40</v>
      </c>
      <c r="AQ1" s="69" t="s">
        <v>29</v>
      </c>
      <c r="AR1" s="69" t="s">
        <v>23</v>
      </c>
      <c r="AS1" s="69" t="s">
        <v>33</v>
      </c>
      <c r="AT1" s="69" t="s">
        <v>53</v>
      </c>
      <c r="AU1" s="37"/>
      <c r="AV1" s="24"/>
    </row>
    <row r="2" spans="1:48" x14ac:dyDescent="0.2">
      <c r="C2" s="17" t="s">
        <v>19</v>
      </c>
      <c r="D2" s="79">
        <v>352068</v>
      </c>
      <c r="E2" s="74">
        <v>427073</v>
      </c>
      <c r="F2" s="74">
        <v>229601</v>
      </c>
      <c r="G2" s="74">
        <v>220352</v>
      </c>
      <c r="H2" s="74">
        <v>318720</v>
      </c>
      <c r="I2" s="74">
        <v>338000</v>
      </c>
      <c r="J2" s="74">
        <v>318537</v>
      </c>
      <c r="K2" s="74">
        <v>245784</v>
      </c>
      <c r="L2" s="74">
        <v>272569</v>
      </c>
      <c r="M2" s="74">
        <v>329894</v>
      </c>
      <c r="N2" s="74">
        <v>293338</v>
      </c>
      <c r="O2" s="74">
        <v>301838</v>
      </c>
      <c r="P2" s="74">
        <v>243982</v>
      </c>
      <c r="Q2" s="74">
        <v>270867</v>
      </c>
      <c r="R2" s="74">
        <v>249471</v>
      </c>
      <c r="S2" s="74">
        <v>259166</v>
      </c>
      <c r="T2" s="74">
        <v>215102</v>
      </c>
      <c r="U2" s="74">
        <v>203831</v>
      </c>
      <c r="V2" s="74">
        <v>170623</v>
      </c>
      <c r="W2" s="74">
        <v>255034</v>
      </c>
      <c r="X2" s="74">
        <v>218032</v>
      </c>
      <c r="Y2" s="74">
        <v>216847</v>
      </c>
      <c r="Z2" s="74">
        <v>264014</v>
      </c>
      <c r="AA2" s="74">
        <v>331463</v>
      </c>
      <c r="AB2" s="74">
        <v>243026</v>
      </c>
      <c r="AC2" s="74">
        <v>267024</v>
      </c>
      <c r="AD2" s="74">
        <v>269599</v>
      </c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15"/>
      <c r="AV2" s="11"/>
    </row>
    <row r="3" spans="1:48" x14ac:dyDescent="0.2">
      <c r="C3" s="17" t="s">
        <v>3</v>
      </c>
      <c r="D3" s="80">
        <v>352.06799999999998</v>
      </c>
      <c r="E3" s="75">
        <v>427.07299999999998</v>
      </c>
      <c r="F3" s="75">
        <v>229.601</v>
      </c>
      <c r="G3" s="75">
        <v>220.352</v>
      </c>
      <c r="H3" s="75">
        <v>318.72000000000003</v>
      </c>
      <c r="I3" s="75">
        <v>338</v>
      </c>
      <c r="J3" s="75">
        <v>318.53699999999998</v>
      </c>
      <c r="K3" s="75">
        <v>245.78399999999999</v>
      </c>
      <c r="L3" s="75">
        <v>272.56900000000002</v>
      </c>
      <c r="M3" s="75">
        <v>329.89400000000001</v>
      </c>
      <c r="N3" s="75">
        <v>293.33800000000002</v>
      </c>
      <c r="O3" s="75">
        <v>301.83800000000002</v>
      </c>
      <c r="P3" s="75">
        <v>243.982</v>
      </c>
      <c r="Q3" s="75">
        <v>270.86700000000002</v>
      </c>
      <c r="R3" s="75">
        <v>249.471</v>
      </c>
      <c r="S3" s="75">
        <v>259.166</v>
      </c>
      <c r="T3" s="75">
        <v>215.102</v>
      </c>
      <c r="U3" s="75">
        <v>203.83099999999999</v>
      </c>
      <c r="V3" s="75">
        <v>170.62299999999999</v>
      </c>
      <c r="W3" s="75">
        <v>255.03399999999999</v>
      </c>
      <c r="X3" s="75">
        <v>218.03200000000001</v>
      </c>
      <c r="Y3" s="75">
        <v>216.84700000000001</v>
      </c>
      <c r="Z3" s="75">
        <v>264.01400000000001</v>
      </c>
      <c r="AA3" s="75">
        <v>331.46300000000002</v>
      </c>
      <c r="AB3" s="75">
        <v>243.02600000000001</v>
      </c>
      <c r="AC3" s="75">
        <v>267.024</v>
      </c>
      <c r="AD3" s="75">
        <v>269.59899999999999</v>
      </c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15"/>
      <c r="AV3" s="11"/>
    </row>
    <row r="4" spans="1:48" x14ac:dyDescent="0.2">
      <c r="C4" s="18" t="s">
        <v>18</v>
      </c>
      <c r="D4" s="81">
        <v>81</v>
      </c>
      <c r="E4" s="77">
        <v>75</v>
      </c>
      <c r="F4" s="77">
        <v>93</v>
      </c>
      <c r="G4" s="77">
        <v>93</v>
      </c>
      <c r="H4" s="77">
        <v>93</v>
      </c>
      <c r="I4" s="77">
        <v>90</v>
      </c>
      <c r="J4" s="77">
        <v>100</v>
      </c>
      <c r="K4" s="77">
        <v>112</v>
      </c>
      <c r="L4" s="77">
        <v>111</v>
      </c>
      <c r="M4" s="77">
        <v>115</v>
      </c>
      <c r="N4" s="77">
        <v>112</v>
      </c>
      <c r="O4" s="77">
        <v>109</v>
      </c>
      <c r="P4" s="77">
        <v>110</v>
      </c>
      <c r="Q4" s="77">
        <v>108</v>
      </c>
      <c r="R4" s="77">
        <v>108</v>
      </c>
      <c r="S4" s="77">
        <v>116</v>
      </c>
      <c r="T4" s="77">
        <v>115</v>
      </c>
      <c r="U4" s="77">
        <v>122</v>
      </c>
      <c r="V4" s="77">
        <v>136</v>
      </c>
      <c r="W4" s="77">
        <v>135</v>
      </c>
      <c r="X4" s="77">
        <v>149</v>
      </c>
      <c r="Y4" s="77">
        <v>142</v>
      </c>
      <c r="Z4" s="77">
        <v>147</v>
      </c>
      <c r="AA4" s="77">
        <v>145</v>
      </c>
      <c r="AB4" s="77">
        <v>147</v>
      </c>
      <c r="AC4" s="77">
        <v>149</v>
      </c>
      <c r="AD4" s="77">
        <v>148</v>
      </c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16"/>
      <c r="AV4" s="11"/>
    </row>
    <row r="5" spans="1:48" ht="13.8" thickBot="1" x14ac:dyDescent="0.25">
      <c r="C5" s="19" t="s">
        <v>17</v>
      </c>
      <c r="D5" s="83">
        <v>104</v>
      </c>
      <c r="E5" s="83">
        <v>104</v>
      </c>
      <c r="F5" s="83">
        <v>104</v>
      </c>
      <c r="G5" s="83">
        <v>104</v>
      </c>
      <c r="H5" s="83">
        <v>104</v>
      </c>
      <c r="I5" s="83">
        <v>104</v>
      </c>
      <c r="J5" s="83">
        <v>104</v>
      </c>
      <c r="K5" s="83">
        <v>104</v>
      </c>
      <c r="L5" s="83">
        <v>104</v>
      </c>
      <c r="M5" s="83">
        <v>104</v>
      </c>
      <c r="N5" s="83">
        <v>104</v>
      </c>
      <c r="O5" s="83">
        <v>104</v>
      </c>
      <c r="P5" s="83">
        <v>104</v>
      </c>
      <c r="Q5" s="83">
        <v>104</v>
      </c>
      <c r="R5" s="83">
        <v>104</v>
      </c>
      <c r="S5" s="83">
        <v>98</v>
      </c>
      <c r="T5" s="83">
        <v>98</v>
      </c>
      <c r="U5" s="83">
        <v>98</v>
      </c>
      <c r="V5" s="83">
        <v>98</v>
      </c>
      <c r="W5" s="83">
        <v>98</v>
      </c>
      <c r="X5" s="83">
        <v>98</v>
      </c>
      <c r="Y5" s="83">
        <v>98</v>
      </c>
      <c r="Z5" s="83">
        <v>112</v>
      </c>
      <c r="AA5" s="83">
        <v>112</v>
      </c>
      <c r="AB5" s="83">
        <v>112</v>
      </c>
      <c r="AC5" s="83">
        <v>112</v>
      </c>
      <c r="AD5" s="83">
        <v>112</v>
      </c>
      <c r="AE5" s="83">
        <v>112</v>
      </c>
      <c r="AF5" s="83">
        <v>112</v>
      </c>
      <c r="AG5" s="83">
        <v>102</v>
      </c>
      <c r="AH5" s="83">
        <v>102</v>
      </c>
      <c r="AI5" s="83">
        <v>102</v>
      </c>
      <c r="AJ5" s="83">
        <v>102</v>
      </c>
      <c r="AK5" s="83">
        <v>102</v>
      </c>
      <c r="AL5" s="83">
        <v>102</v>
      </c>
      <c r="AM5" s="83">
        <v>102</v>
      </c>
      <c r="AN5" s="83">
        <v>102</v>
      </c>
      <c r="AO5" s="83">
        <v>102</v>
      </c>
      <c r="AP5" s="83">
        <v>102</v>
      </c>
      <c r="AQ5" s="83">
        <v>102</v>
      </c>
      <c r="AR5" s="83">
        <v>102</v>
      </c>
      <c r="AS5" s="83">
        <v>102</v>
      </c>
      <c r="AT5" s="83">
        <v>102</v>
      </c>
      <c r="AU5" s="25"/>
      <c r="AV5" s="22"/>
    </row>
    <row r="6" spans="1:48" ht="13.8" thickBot="1" x14ac:dyDescent="0.25"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14"/>
    </row>
    <row r="7" spans="1:48" x14ac:dyDescent="0.2">
      <c r="A7" t="s">
        <v>9</v>
      </c>
      <c r="B7" t="s">
        <v>7</v>
      </c>
      <c r="C7" s="26">
        <f>$C$1</f>
        <v>46174</v>
      </c>
      <c r="D7" s="78" t="s">
        <v>46</v>
      </c>
      <c r="E7" s="69" t="s">
        <v>41</v>
      </c>
      <c r="F7" s="69" t="s">
        <v>37</v>
      </c>
      <c r="G7" s="69" t="s">
        <v>47</v>
      </c>
      <c r="H7" s="70" t="s">
        <v>30</v>
      </c>
      <c r="I7" s="69" t="s">
        <v>42</v>
      </c>
      <c r="J7" s="69" t="s">
        <v>21</v>
      </c>
      <c r="K7" s="69" t="s">
        <v>38</v>
      </c>
      <c r="L7" s="69" t="s">
        <v>31</v>
      </c>
      <c r="M7" s="69" t="s">
        <v>27</v>
      </c>
      <c r="N7" s="69" t="s">
        <v>43</v>
      </c>
      <c r="O7" s="69" t="s">
        <v>25</v>
      </c>
      <c r="P7" s="69" t="s">
        <v>39</v>
      </c>
      <c r="Q7" s="69" t="s">
        <v>32</v>
      </c>
      <c r="R7" s="69" t="s">
        <v>28</v>
      </c>
      <c r="S7" s="69" t="s">
        <v>44</v>
      </c>
      <c r="T7" s="69" t="s">
        <v>26</v>
      </c>
      <c r="U7" s="69" t="s">
        <v>40</v>
      </c>
      <c r="V7" s="69" t="s">
        <v>22</v>
      </c>
      <c r="W7" s="69" t="s">
        <v>29</v>
      </c>
      <c r="X7" s="69" t="s">
        <v>45</v>
      </c>
      <c r="Y7" s="69" t="s">
        <v>33</v>
      </c>
      <c r="Z7" s="69" t="s">
        <v>48</v>
      </c>
      <c r="AA7" s="71" t="s">
        <v>49</v>
      </c>
      <c r="AB7" s="71" t="s">
        <v>37</v>
      </c>
      <c r="AC7" s="71" t="s">
        <v>30</v>
      </c>
      <c r="AD7" s="72" t="s">
        <v>34</v>
      </c>
      <c r="AE7" s="72" t="s">
        <v>21</v>
      </c>
      <c r="AF7" s="72" t="s">
        <v>50</v>
      </c>
      <c r="AG7" s="72" t="s">
        <v>38</v>
      </c>
      <c r="AH7" s="72" t="s">
        <v>27</v>
      </c>
      <c r="AI7" s="72" t="s">
        <v>35</v>
      </c>
      <c r="AJ7" s="72" t="s">
        <v>25</v>
      </c>
      <c r="AK7" s="72" t="s">
        <v>51</v>
      </c>
      <c r="AL7" s="72" t="s">
        <v>39</v>
      </c>
      <c r="AM7" s="72" t="s">
        <v>36</v>
      </c>
      <c r="AN7" s="73" t="s">
        <v>26</v>
      </c>
      <c r="AO7" s="69" t="s">
        <v>52</v>
      </c>
      <c r="AP7" s="69" t="s">
        <v>40</v>
      </c>
      <c r="AQ7" s="69" t="s">
        <v>29</v>
      </c>
      <c r="AR7" s="69" t="s">
        <v>23</v>
      </c>
      <c r="AS7" s="69" t="s">
        <v>33</v>
      </c>
      <c r="AT7" s="69" t="s">
        <v>53</v>
      </c>
      <c r="AU7" s="37"/>
      <c r="AV7" s="24"/>
    </row>
    <row r="8" spans="1:48" x14ac:dyDescent="0.2">
      <c r="C8" s="17" t="s">
        <v>19</v>
      </c>
      <c r="D8" s="79">
        <v>76071</v>
      </c>
      <c r="E8" s="74">
        <v>53303</v>
      </c>
      <c r="F8" s="74">
        <v>36196</v>
      </c>
      <c r="G8" s="74">
        <v>55909</v>
      </c>
      <c r="H8" s="74">
        <v>69414</v>
      </c>
      <c r="I8" s="74">
        <v>64429</v>
      </c>
      <c r="J8" s="74">
        <v>48494</v>
      </c>
      <c r="K8" s="74">
        <v>51405</v>
      </c>
      <c r="L8" s="74">
        <v>61101</v>
      </c>
      <c r="M8" s="74">
        <v>77545</v>
      </c>
      <c r="N8" s="74">
        <v>54611</v>
      </c>
      <c r="O8" s="74">
        <v>46101</v>
      </c>
      <c r="P8" s="74">
        <v>61088</v>
      </c>
      <c r="Q8" s="74">
        <v>68787</v>
      </c>
      <c r="R8" s="74">
        <v>47114</v>
      </c>
      <c r="S8" s="74">
        <v>80180</v>
      </c>
      <c r="T8" s="74">
        <v>50239</v>
      </c>
      <c r="U8" s="74">
        <v>33943</v>
      </c>
      <c r="V8" s="74">
        <v>71227</v>
      </c>
      <c r="W8" s="74">
        <v>42177</v>
      </c>
      <c r="X8" s="74">
        <v>100815</v>
      </c>
      <c r="Y8" s="74">
        <v>74498</v>
      </c>
      <c r="Z8" s="74">
        <v>56648</v>
      </c>
      <c r="AA8" s="74">
        <v>67275</v>
      </c>
      <c r="AB8" s="74">
        <v>62275</v>
      </c>
      <c r="AC8" s="74">
        <v>68959</v>
      </c>
      <c r="AD8" s="74">
        <v>71048</v>
      </c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15"/>
      <c r="AV8" s="11"/>
    </row>
    <row r="9" spans="1:48" x14ac:dyDescent="0.2">
      <c r="C9" s="17" t="s">
        <v>3</v>
      </c>
      <c r="D9" s="80">
        <v>76.070999999999998</v>
      </c>
      <c r="E9" s="75">
        <v>53.302999999999997</v>
      </c>
      <c r="F9" s="75">
        <v>36.195999999999998</v>
      </c>
      <c r="G9" s="75">
        <v>55.908999999999999</v>
      </c>
      <c r="H9" s="75">
        <v>69.414000000000001</v>
      </c>
      <c r="I9" s="75">
        <v>64.429000000000002</v>
      </c>
      <c r="J9" s="75">
        <v>48.494</v>
      </c>
      <c r="K9" s="75">
        <v>51.405000000000001</v>
      </c>
      <c r="L9" s="75">
        <v>61.100999999999999</v>
      </c>
      <c r="M9" s="75">
        <v>77.545000000000002</v>
      </c>
      <c r="N9" s="75">
        <v>54.610999999999997</v>
      </c>
      <c r="O9" s="75">
        <v>46.100999999999999</v>
      </c>
      <c r="P9" s="75">
        <v>61.088000000000001</v>
      </c>
      <c r="Q9" s="75">
        <v>68.787000000000006</v>
      </c>
      <c r="R9" s="75">
        <v>47.113999999999997</v>
      </c>
      <c r="S9" s="75">
        <v>80.180000000000007</v>
      </c>
      <c r="T9" s="75">
        <v>50.238999999999997</v>
      </c>
      <c r="U9" s="75">
        <v>33.942999999999998</v>
      </c>
      <c r="V9" s="75">
        <v>71.227000000000004</v>
      </c>
      <c r="W9" s="75">
        <v>42.177</v>
      </c>
      <c r="X9" s="75">
        <v>100.815</v>
      </c>
      <c r="Y9" s="75">
        <v>74.498000000000005</v>
      </c>
      <c r="Z9" s="75">
        <v>56.648000000000003</v>
      </c>
      <c r="AA9" s="75">
        <v>67.275000000000006</v>
      </c>
      <c r="AB9" s="75">
        <v>62.274999999999999</v>
      </c>
      <c r="AC9" s="75">
        <v>68.959000000000003</v>
      </c>
      <c r="AD9" s="75">
        <v>71.048000000000002</v>
      </c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15"/>
      <c r="AV9" s="11"/>
    </row>
    <row r="10" spans="1:48" x14ac:dyDescent="0.2">
      <c r="C10" s="18" t="s">
        <v>18</v>
      </c>
      <c r="D10" s="81">
        <v>106</v>
      </c>
      <c r="E10" s="77">
        <v>111</v>
      </c>
      <c r="F10" s="77">
        <v>115</v>
      </c>
      <c r="G10" s="77">
        <v>103</v>
      </c>
      <c r="H10" s="77">
        <v>109</v>
      </c>
      <c r="I10" s="77">
        <v>114</v>
      </c>
      <c r="J10" s="77">
        <v>109</v>
      </c>
      <c r="K10" s="77">
        <v>110</v>
      </c>
      <c r="L10" s="77">
        <v>113</v>
      </c>
      <c r="M10" s="77">
        <v>119</v>
      </c>
      <c r="N10" s="77">
        <v>123</v>
      </c>
      <c r="O10" s="77">
        <v>131</v>
      </c>
      <c r="P10" s="77">
        <v>123</v>
      </c>
      <c r="Q10" s="77">
        <v>115</v>
      </c>
      <c r="R10" s="77">
        <v>127</v>
      </c>
      <c r="S10" s="77">
        <v>124</v>
      </c>
      <c r="T10" s="77">
        <v>132</v>
      </c>
      <c r="U10" s="77">
        <v>144</v>
      </c>
      <c r="V10" s="77">
        <v>137</v>
      </c>
      <c r="W10" s="77">
        <v>147</v>
      </c>
      <c r="X10" s="77">
        <v>134</v>
      </c>
      <c r="Y10" s="77">
        <v>138</v>
      </c>
      <c r="Z10" s="77">
        <v>155</v>
      </c>
      <c r="AA10" s="77">
        <v>139</v>
      </c>
      <c r="AB10" s="77">
        <v>149</v>
      </c>
      <c r="AC10" s="77">
        <v>154</v>
      </c>
      <c r="AD10" s="77">
        <v>151</v>
      </c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16"/>
      <c r="AV10" s="11"/>
    </row>
    <row r="11" spans="1:48" ht="13.8" thickBot="1" x14ac:dyDescent="0.25">
      <c r="C11" s="19" t="s">
        <v>17</v>
      </c>
      <c r="D11" s="83">
        <v>111</v>
      </c>
      <c r="E11" s="83">
        <v>111</v>
      </c>
      <c r="F11" s="83">
        <v>111</v>
      </c>
      <c r="G11" s="83">
        <v>111</v>
      </c>
      <c r="H11" s="83">
        <v>111</v>
      </c>
      <c r="I11" s="83">
        <v>111</v>
      </c>
      <c r="J11" s="83">
        <v>111</v>
      </c>
      <c r="K11" s="83">
        <v>116</v>
      </c>
      <c r="L11" s="83">
        <v>116</v>
      </c>
      <c r="M11" s="83">
        <v>116</v>
      </c>
      <c r="N11" s="83">
        <v>116</v>
      </c>
      <c r="O11" s="83">
        <v>116</v>
      </c>
      <c r="P11" s="83">
        <v>116</v>
      </c>
      <c r="Q11" s="83">
        <v>116</v>
      </c>
      <c r="R11" s="83">
        <v>116</v>
      </c>
      <c r="S11" s="83">
        <v>104</v>
      </c>
      <c r="T11" s="83">
        <v>104</v>
      </c>
      <c r="U11" s="83">
        <v>104</v>
      </c>
      <c r="V11" s="83">
        <v>104</v>
      </c>
      <c r="W11" s="83">
        <v>104</v>
      </c>
      <c r="X11" s="83">
        <v>104</v>
      </c>
      <c r="Y11" s="83">
        <v>104</v>
      </c>
      <c r="Z11" s="83">
        <v>112</v>
      </c>
      <c r="AA11" s="83">
        <v>112</v>
      </c>
      <c r="AB11" s="83">
        <v>112</v>
      </c>
      <c r="AC11" s="83">
        <v>112</v>
      </c>
      <c r="AD11" s="83">
        <v>112</v>
      </c>
      <c r="AE11" s="83">
        <v>112</v>
      </c>
      <c r="AF11" s="83">
        <v>112</v>
      </c>
      <c r="AG11" s="83">
        <v>106</v>
      </c>
      <c r="AH11" s="83">
        <v>106</v>
      </c>
      <c r="AI11" s="83">
        <v>106</v>
      </c>
      <c r="AJ11" s="83">
        <v>106</v>
      </c>
      <c r="AK11" s="83">
        <v>106</v>
      </c>
      <c r="AL11" s="83">
        <v>106</v>
      </c>
      <c r="AM11" s="83">
        <v>109</v>
      </c>
      <c r="AN11" s="83">
        <v>109</v>
      </c>
      <c r="AO11" s="83">
        <v>109</v>
      </c>
      <c r="AP11" s="83">
        <v>109</v>
      </c>
      <c r="AQ11" s="83">
        <v>109</v>
      </c>
      <c r="AR11" s="83">
        <v>109</v>
      </c>
      <c r="AS11" s="83">
        <v>109</v>
      </c>
      <c r="AT11" s="83">
        <v>109</v>
      </c>
      <c r="AU11" s="21"/>
      <c r="AV11" s="22"/>
    </row>
    <row r="12" spans="1:48" ht="13.8" thickBot="1" x14ac:dyDescent="0.25"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12"/>
    </row>
    <row r="13" spans="1:48" x14ac:dyDescent="0.2">
      <c r="A13" t="s">
        <v>9</v>
      </c>
      <c r="B13" t="s">
        <v>6</v>
      </c>
      <c r="C13" s="26">
        <f>$C$1</f>
        <v>46174</v>
      </c>
      <c r="D13" s="78" t="s">
        <v>46</v>
      </c>
      <c r="E13" s="69" t="s">
        <v>41</v>
      </c>
      <c r="F13" s="69" t="s">
        <v>37</v>
      </c>
      <c r="G13" s="69" t="s">
        <v>47</v>
      </c>
      <c r="H13" s="70" t="s">
        <v>30</v>
      </c>
      <c r="I13" s="69" t="s">
        <v>42</v>
      </c>
      <c r="J13" s="69" t="s">
        <v>21</v>
      </c>
      <c r="K13" s="69" t="s">
        <v>38</v>
      </c>
      <c r="L13" s="69" t="s">
        <v>31</v>
      </c>
      <c r="M13" s="69" t="s">
        <v>27</v>
      </c>
      <c r="N13" s="69" t="s">
        <v>43</v>
      </c>
      <c r="O13" s="69" t="s">
        <v>25</v>
      </c>
      <c r="P13" s="69" t="s">
        <v>39</v>
      </c>
      <c r="Q13" s="69" t="s">
        <v>32</v>
      </c>
      <c r="R13" s="69" t="s">
        <v>28</v>
      </c>
      <c r="S13" s="69" t="s">
        <v>44</v>
      </c>
      <c r="T13" s="69" t="s">
        <v>26</v>
      </c>
      <c r="U13" s="69" t="s">
        <v>40</v>
      </c>
      <c r="V13" s="69" t="s">
        <v>22</v>
      </c>
      <c r="W13" s="69" t="s">
        <v>29</v>
      </c>
      <c r="X13" s="69" t="s">
        <v>45</v>
      </c>
      <c r="Y13" s="69" t="s">
        <v>33</v>
      </c>
      <c r="Z13" s="69" t="s">
        <v>48</v>
      </c>
      <c r="AA13" s="71" t="s">
        <v>49</v>
      </c>
      <c r="AB13" s="71" t="s">
        <v>37</v>
      </c>
      <c r="AC13" s="71" t="s">
        <v>30</v>
      </c>
      <c r="AD13" s="72" t="s">
        <v>34</v>
      </c>
      <c r="AE13" s="72" t="s">
        <v>21</v>
      </c>
      <c r="AF13" s="72" t="s">
        <v>50</v>
      </c>
      <c r="AG13" s="72" t="s">
        <v>38</v>
      </c>
      <c r="AH13" s="72" t="s">
        <v>27</v>
      </c>
      <c r="AI13" s="72" t="s">
        <v>35</v>
      </c>
      <c r="AJ13" s="72" t="s">
        <v>25</v>
      </c>
      <c r="AK13" s="72" t="s">
        <v>51</v>
      </c>
      <c r="AL13" s="72" t="s">
        <v>39</v>
      </c>
      <c r="AM13" s="72" t="s">
        <v>36</v>
      </c>
      <c r="AN13" s="73" t="s">
        <v>26</v>
      </c>
      <c r="AO13" s="69" t="s">
        <v>52</v>
      </c>
      <c r="AP13" s="69" t="s">
        <v>40</v>
      </c>
      <c r="AQ13" s="69" t="s">
        <v>29</v>
      </c>
      <c r="AR13" s="69" t="s">
        <v>23</v>
      </c>
      <c r="AS13" s="69" t="s">
        <v>33</v>
      </c>
      <c r="AT13" s="69" t="s">
        <v>53</v>
      </c>
      <c r="AU13" s="37"/>
      <c r="AV13" s="24"/>
    </row>
    <row r="14" spans="1:48" x14ac:dyDescent="0.2">
      <c r="C14" s="17" t="s">
        <v>19</v>
      </c>
      <c r="D14" s="79">
        <v>78354</v>
      </c>
      <c r="E14" s="74">
        <v>86690</v>
      </c>
      <c r="F14" s="74">
        <v>77043</v>
      </c>
      <c r="G14" s="74">
        <v>84767</v>
      </c>
      <c r="H14" s="74">
        <v>87318</v>
      </c>
      <c r="I14" s="74">
        <v>88883</v>
      </c>
      <c r="J14" s="74">
        <v>74004</v>
      </c>
      <c r="K14" s="74">
        <v>92471</v>
      </c>
      <c r="L14" s="74">
        <v>61011</v>
      </c>
      <c r="M14" s="74">
        <v>85020</v>
      </c>
      <c r="N14" s="74">
        <v>93109</v>
      </c>
      <c r="O14" s="74">
        <v>82009</v>
      </c>
      <c r="P14" s="74">
        <v>108929</v>
      </c>
      <c r="Q14" s="74">
        <v>101349</v>
      </c>
      <c r="R14" s="74">
        <v>109698</v>
      </c>
      <c r="S14" s="74">
        <v>91276</v>
      </c>
      <c r="T14" s="74">
        <v>88927</v>
      </c>
      <c r="U14" s="74">
        <v>71609</v>
      </c>
      <c r="V14" s="74">
        <v>70146</v>
      </c>
      <c r="W14" s="74">
        <v>113005</v>
      </c>
      <c r="X14" s="74">
        <v>117640</v>
      </c>
      <c r="Y14" s="74">
        <v>96501</v>
      </c>
      <c r="Z14" s="74">
        <v>114602</v>
      </c>
      <c r="AA14" s="74">
        <v>85029</v>
      </c>
      <c r="AB14" s="74">
        <v>97601</v>
      </c>
      <c r="AC14" s="74">
        <v>116442</v>
      </c>
      <c r="AD14" s="74">
        <v>89038</v>
      </c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15"/>
      <c r="AV14" s="11"/>
    </row>
    <row r="15" spans="1:48" x14ac:dyDescent="0.2">
      <c r="C15" s="17" t="s">
        <v>3</v>
      </c>
      <c r="D15" s="80">
        <v>78.353999999999999</v>
      </c>
      <c r="E15" s="75">
        <v>86.69</v>
      </c>
      <c r="F15" s="75">
        <v>77.043000000000006</v>
      </c>
      <c r="G15" s="75">
        <v>84.766999999999996</v>
      </c>
      <c r="H15" s="75">
        <v>87.317999999999998</v>
      </c>
      <c r="I15" s="75">
        <v>88.882999999999996</v>
      </c>
      <c r="J15" s="75">
        <v>74.004000000000005</v>
      </c>
      <c r="K15" s="75">
        <v>92.471000000000004</v>
      </c>
      <c r="L15" s="75">
        <v>61.011000000000003</v>
      </c>
      <c r="M15" s="75">
        <v>85.02</v>
      </c>
      <c r="N15" s="75">
        <v>93.108999999999995</v>
      </c>
      <c r="O15" s="75">
        <v>82.009</v>
      </c>
      <c r="P15" s="75">
        <v>108.929</v>
      </c>
      <c r="Q15" s="75">
        <v>101.349</v>
      </c>
      <c r="R15" s="75">
        <v>109.69799999999999</v>
      </c>
      <c r="S15" s="75">
        <v>91.275999999999996</v>
      </c>
      <c r="T15" s="75">
        <v>88.927000000000007</v>
      </c>
      <c r="U15" s="75">
        <v>71.608999999999995</v>
      </c>
      <c r="V15" s="75">
        <v>70.146000000000001</v>
      </c>
      <c r="W15" s="75">
        <v>113.005</v>
      </c>
      <c r="X15" s="75">
        <v>117.64</v>
      </c>
      <c r="Y15" s="75">
        <v>96.501000000000005</v>
      </c>
      <c r="Z15" s="75">
        <v>114.602</v>
      </c>
      <c r="AA15" s="75">
        <v>85.028999999999996</v>
      </c>
      <c r="AB15" s="75">
        <v>97.600999999999999</v>
      </c>
      <c r="AC15" s="75">
        <v>116.44199999999999</v>
      </c>
      <c r="AD15" s="75">
        <v>89.037999999999997</v>
      </c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15"/>
      <c r="AV15" s="11"/>
    </row>
    <row r="16" spans="1:48" x14ac:dyDescent="0.2">
      <c r="C16" s="18" t="s">
        <v>18</v>
      </c>
      <c r="D16" s="81">
        <v>119</v>
      </c>
      <c r="E16" s="77">
        <v>115</v>
      </c>
      <c r="F16" s="77">
        <v>107</v>
      </c>
      <c r="G16" s="77">
        <v>108</v>
      </c>
      <c r="H16" s="77">
        <v>112</v>
      </c>
      <c r="I16" s="77">
        <v>111</v>
      </c>
      <c r="J16" s="77">
        <v>116</v>
      </c>
      <c r="K16" s="77">
        <v>120</v>
      </c>
      <c r="L16" s="77">
        <v>125</v>
      </c>
      <c r="M16" s="77">
        <v>120</v>
      </c>
      <c r="N16" s="77">
        <v>126</v>
      </c>
      <c r="O16" s="77">
        <v>123</v>
      </c>
      <c r="P16" s="77">
        <v>126</v>
      </c>
      <c r="Q16" s="77">
        <v>121</v>
      </c>
      <c r="R16" s="77">
        <v>122</v>
      </c>
      <c r="S16" s="77">
        <v>121</v>
      </c>
      <c r="T16" s="77">
        <v>130</v>
      </c>
      <c r="U16" s="77">
        <v>135</v>
      </c>
      <c r="V16" s="77">
        <v>136</v>
      </c>
      <c r="W16" s="77">
        <v>135</v>
      </c>
      <c r="X16" s="77">
        <v>139</v>
      </c>
      <c r="Y16" s="77">
        <v>141</v>
      </c>
      <c r="Z16" s="77">
        <v>144</v>
      </c>
      <c r="AA16" s="77">
        <v>144</v>
      </c>
      <c r="AB16" s="77">
        <v>142</v>
      </c>
      <c r="AC16" s="77">
        <v>145</v>
      </c>
      <c r="AD16" s="77">
        <v>148</v>
      </c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16"/>
      <c r="AV16" s="11"/>
    </row>
    <row r="17" spans="1:48" ht="13.8" thickBot="1" x14ac:dyDescent="0.25">
      <c r="C17" s="19" t="s">
        <v>17</v>
      </c>
      <c r="D17" s="83">
        <v>116</v>
      </c>
      <c r="E17" s="83">
        <v>116</v>
      </c>
      <c r="F17" s="83">
        <v>116</v>
      </c>
      <c r="G17" s="83">
        <v>116</v>
      </c>
      <c r="H17" s="83">
        <v>116</v>
      </c>
      <c r="I17" s="83">
        <v>116</v>
      </c>
      <c r="J17" s="83">
        <v>116</v>
      </c>
      <c r="K17" s="83">
        <v>113</v>
      </c>
      <c r="L17" s="83">
        <v>113</v>
      </c>
      <c r="M17" s="83">
        <v>113</v>
      </c>
      <c r="N17" s="83">
        <v>113</v>
      </c>
      <c r="O17" s="83">
        <v>113</v>
      </c>
      <c r="P17" s="83">
        <v>113</v>
      </c>
      <c r="Q17" s="83">
        <v>113</v>
      </c>
      <c r="R17" s="83">
        <v>113</v>
      </c>
      <c r="S17" s="83">
        <v>102</v>
      </c>
      <c r="T17" s="83">
        <v>102</v>
      </c>
      <c r="U17" s="83">
        <v>102</v>
      </c>
      <c r="V17" s="83">
        <v>102</v>
      </c>
      <c r="W17" s="83">
        <v>102</v>
      </c>
      <c r="X17" s="83">
        <v>102</v>
      </c>
      <c r="Y17" s="83">
        <v>102</v>
      </c>
      <c r="Z17" s="83">
        <v>104</v>
      </c>
      <c r="AA17" s="83">
        <v>104</v>
      </c>
      <c r="AB17" s="83">
        <v>104</v>
      </c>
      <c r="AC17" s="83">
        <v>104</v>
      </c>
      <c r="AD17" s="83">
        <v>104</v>
      </c>
      <c r="AE17" s="83">
        <v>104</v>
      </c>
      <c r="AF17" s="83">
        <v>104</v>
      </c>
      <c r="AG17" s="83">
        <v>99</v>
      </c>
      <c r="AH17" s="83">
        <v>99</v>
      </c>
      <c r="AI17" s="83">
        <v>99</v>
      </c>
      <c r="AJ17" s="83">
        <v>99</v>
      </c>
      <c r="AK17" s="83">
        <v>99</v>
      </c>
      <c r="AL17" s="83">
        <v>99</v>
      </c>
      <c r="AM17" s="83">
        <v>95</v>
      </c>
      <c r="AN17" s="83">
        <v>95</v>
      </c>
      <c r="AO17" s="83">
        <v>95</v>
      </c>
      <c r="AP17" s="83">
        <v>95</v>
      </c>
      <c r="AQ17" s="83">
        <v>95</v>
      </c>
      <c r="AR17" s="83">
        <v>95</v>
      </c>
      <c r="AS17" s="83">
        <v>95</v>
      </c>
      <c r="AT17" s="83">
        <v>95</v>
      </c>
      <c r="AU17" s="25"/>
      <c r="AV17" s="22"/>
    </row>
    <row r="18" spans="1:48" ht="13.8" thickBot="1" x14ac:dyDescent="0.25"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12"/>
    </row>
    <row r="19" spans="1:48" x14ac:dyDescent="0.2">
      <c r="A19" t="s">
        <v>9</v>
      </c>
      <c r="B19" t="s">
        <v>4</v>
      </c>
      <c r="C19" s="26">
        <f>$C$1</f>
        <v>46174</v>
      </c>
      <c r="D19" s="78" t="s">
        <v>46</v>
      </c>
      <c r="E19" s="69" t="s">
        <v>41</v>
      </c>
      <c r="F19" s="69" t="s">
        <v>37</v>
      </c>
      <c r="G19" s="69" t="s">
        <v>47</v>
      </c>
      <c r="H19" s="70" t="s">
        <v>30</v>
      </c>
      <c r="I19" s="69" t="s">
        <v>42</v>
      </c>
      <c r="J19" s="69" t="s">
        <v>21</v>
      </c>
      <c r="K19" s="69" t="s">
        <v>38</v>
      </c>
      <c r="L19" s="69" t="s">
        <v>31</v>
      </c>
      <c r="M19" s="69" t="s">
        <v>27</v>
      </c>
      <c r="N19" s="69" t="s">
        <v>43</v>
      </c>
      <c r="O19" s="69" t="s">
        <v>25</v>
      </c>
      <c r="P19" s="69" t="s">
        <v>39</v>
      </c>
      <c r="Q19" s="69" t="s">
        <v>32</v>
      </c>
      <c r="R19" s="69" t="s">
        <v>28</v>
      </c>
      <c r="S19" s="69" t="s">
        <v>44</v>
      </c>
      <c r="T19" s="69" t="s">
        <v>26</v>
      </c>
      <c r="U19" s="69" t="s">
        <v>40</v>
      </c>
      <c r="V19" s="69" t="s">
        <v>22</v>
      </c>
      <c r="W19" s="69" t="s">
        <v>29</v>
      </c>
      <c r="X19" s="69" t="s">
        <v>45</v>
      </c>
      <c r="Y19" s="69" t="s">
        <v>33</v>
      </c>
      <c r="Z19" s="69" t="s">
        <v>48</v>
      </c>
      <c r="AA19" s="71" t="s">
        <v>49</v>
      </c>
      <c r="AB19" s="71" t="s">
        <v>37</v>
      </c>
      <c r="AC19" s="71" t="s">
        <v>30</v>
      </c>
      <c r="AD19" s="72" t="s">
        <v>34</v>
      </c>
      <c r="AE19" s="72" t="s">
        <v>21</v>
      </c>
      <c r="AF19" s="72" t="s">
        <v>50</v>
      </c>
      <c r="AG19" s="72" t="s">
        <v>38</v>
      </c>
      <c r="AH19" s="72" t="s">
        <v>27</v>
      </c>
      <c r="AI19" s="72" t="s">
        <v>35</v>
      </c>
      <c r="AJ19" s="72" t="s">
        <v>25</v>
      </c>
      <c r="AK19" s="72" t="s">
        <v>51</v>
      </c>
      <c r="AL19" s="72" t="s">
        <v>39</v>
      </c>
      <c r="AM19" s="72" t="s">
        <v>36</v>
      </c>
      <c r="AN19" s="73" t="s">
        <v>26</v>
      </c>
      <c r="AO19" s="69" t="s">
        <v>52</v>
      </c>
      <c r="AP19" s="69" t="s">
        <v>40</v>
      </c>
      <c r="AQ19" s="69" t="s">
        <v>29</v>
      </c>
      <c r="AR19" s="69" t="s">
        <v>23</v>
      </c>
      <c r="AS19" s="69" t="s">
        <v>33</v>
      </c>
      <c r="AT19" s="69" t="s">
        <v>53</v>
      </c>
      <c r="AU19" s="37"/>
      <c r="AV19" s="24"/>
    </row>
    <row r="20" spans="1:48" x14ac:dyDescent="0.2">
      <c r="C20" s="17" t="s">
        <v>19</v>
      </c>
      <c r="D20" s="79">
        <v>44641</v>
      </c>
      <c r="E20" s="74">
        <v>62552</v>
      </c>
      <c r="F20" s="74">
        <v>71919</v>
      </c>
      <c r="G20" s="74">
        <v>47811</v>
      </c>
      <c r="H20" s="74">
        <v>53359</v>
      </c>
      <c r="I20" s="74">
        <v>33435</v>
      </c>
      <c r="J20" s="74">
        <v>43143</v>
      </c>
      <c r="K20" s="74">
        <v>64399</v>
      </c>
      <c r="L20" s="74">
        <v>38068</v>
      </c>
      <c r="M20" s="74">
        <v>55957</v>
      </c>
      <c r="N20" s="74">
        <v>31990</v>
      </c>
      <c r="O20" s="74">
        <v>60609</v>
      </c>
      <c r="P20" s="74">
        <v>54825</v>
      </c>
      <c r="Q20" s="74">
        <v>41296</v>
      </c>
      <c r="R20" s="74">
        <v>49444</v>
      </c>
      <c r="S20" s="74">
        <v>66803</v>
      </c>
      <c r="T20" s="74">
        <v>41916</v>
      </c>
      <c r="U20" s="74">
        <v>50999</v>
      </c>
      <c r="V20" s="74">
        <v>36766</v>
      </c>
      <c r="W20" s="74">
        <v>57384</v>
      </c>
      <c r="X20" s="74">
        <v>71733</v>
      </c>
      <c r="Y20" s="74">
        <v>57477</v>
      </c>
      <c r="Z20" s="74">
        <v>52498</v>
      </c>
      <c r="AA20" s="74">
        <v>61426</v>
      </c>
      <c r="AB20" s="74">
        <v>59072</v>
      </c>
      <c r="AC20" s="74">
        <v>58342</v>
      </c>
      <c r="AD20" s="74">
        <v>54567</v>
      </c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15"/>
      <c r="AV20" s="11"/>
    </row>
    <row r="21" spans="1:48" x14ac:dyDescent="0.2">
      <c r="C21" s="17" t="s">
        <v>3</v>
      </c>
      <c r="D21" s="80">
        <v>44.640999999999998</v>
      </c>
      <c r="E21" s="75">
        <v>62.552</v>
      </c>
      <c r="F21" s="75">
        <v>71.918999999999997</v>
      </c>
      <c r="G21" s="75">
        <v>47.811</v>
      </c>
      <c r="H21" s="75">
        <v>53.359000000000002</v>
      </c>
      <c r="I21" s="75">
        <v>33.435000000000002</v>
      </c>
      <c r="J21" s="75">
        <v>43.143000000000001</v>
      </c>
      <c r="K21" s="75">
        <v>64.399000000000001</v>
      </c>
      <c r="L21" s="75">
        <v>38.067999999999998</v>
      </c>
      <c r="M21" s="75">
        <v>55.957000000000001</v>
      </c>
      <c r="N21" s="75">
        <v>31.99</v>
      </c>
      <c r="O21" s="75">
        <v>60.609000000000002</v>
      </c>
      <c r="P21" s="75">
        <v>54.825000000000003</v>
      </c>
      <c r="Q21" s="75">
        <v>41.295999999999999</v>
      </c>
      <c r="R21" s="75">
        <v>49.444000000000003</v>
      </c>
      <c r="S21" s="75">
        <v>66.802999999999997</v>
      </c>
      <c r="T21" s="75">
        <v>41.915999999999997</v>
      </c>
      <c r="U21" s="75">
        <v>50.999000000000002</v>
      </c>
      <c r="V21" s="75">
        <v>36.765999999999998</v>
      </c>
      <c r="W21" s="75">
        <v>57.384</v>
      </c>
      <c r="X21" s="75">
        <v>71.733000000000004</v>
      </c>
      <c r="Y21" s="75">
        <v>57.476999999999997</v>
      </c>
      <c r="Z21" s="75">
        <v>52.497999999999998</v>
      </c>
      <c r="AA21" s="75">
        <v>61.426000000000002</v>
      </c>
      <c r="AB21" s="75">
        <v>59.072000000000003</v>
      </c>
      <c r="AC21" s="75">
        <v>58.341999999999999</v>
      </c>
      <c r="AD21" s="75">
        <v>54.567</v>
      </c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15"/>
      <c r="AV21" s="11"/>
    </row>
    <row r="22" spans="1:48" x14ac:dyDescent="0.2">
      <c r="C22" s="18" t="s">
        <v>18</v>
      </c>
      <c r="D22" s="81">
        <v>74</v>
      </c>
      <c r="E22" s="77">
        <v>76</v>
      </c>
      <c r="F22" s="77">
        <v>70</v>
      </c>
      <c r="G22" s="77">
        <v>78</v>
      </c>
      <c r="H22" s="77">
        <v>78</v>
      </c>
      <c r="I22" s="77">
        <v>86</v>
      </c>
      <c r="J22" s="77">
        <v>90</v>
      </c>
      <c r="K22" s="77">
        <v>81</v>
      </c>
      <c r="L22" s="77">
        <v>85</v>
      </c>
      <c r="M22" s="77">
        <v>87</v>
      </c>
      <c r="N22" s="77">
        <v>91</v>
      </c>
      <c r="O22" s="77">
        <v>92</v>
      </c>
      <c r="P22" s="77">
        <v>101</v>
      </c>
      <c r="Q22" s="77">
        <v>103</v>
      </c>
      <c r="R22" s="77">
        <v>106</v>
      </c>
      <c r="S22" s="77">
        <v>102</v>
      </c>
      <c r="T22" s="77">
        <v>101</v>
      </c>
      <c r="U22" s="77">
        <v>99</v>
      </c>
      <c r="V22" s="77">
        <v>99</v>
      </c>
      <c r="W22" s="77">
        <v>107</v>
      </c>
      <c r="X22" s="77">
        <v>115</v>
      </c>
      <c r="Y22" s="77">
        <v>117</v>
      </c>
      <c r="Z22" s="77">
        <v>117</v>
      </c>
      <c r="AA22" s="77">
        <v>128</v>
      </c>
      <c r="AB22" s="77">
        <v>120</v>
      </c>
      <c r="AC22" s="77">
        <v>124</v>
      </c>
      <c r="AD22" s="77">
        <v>120</v>
      </c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16"/>
      <c r="AV22" s="11"/>
    </row>
    <row r="23" spans="1:48" ht="13.8" thickBot="1" x14ac:dyDescent="0.25">
      <c r="C23" s="19" t="s">
        <v>17</v>
      </c>
      <c r="D23" s="83">
        <v>82</v>
      </c>
      <c r="E23" s="83">
        <v>82</v>
      </c>
      <c r="F23" s="83">
        <v>82</v>
      </c>
      <c r="G23" s="83">
        <v>82</v>
      </c>
      <c r="H23" s="83">
        <v>82</v>
      </c>
      <c r="I23" s="83">
        <v>82</v>
      </c>
      <c r="J23" s="83">
        <v>82</v>
      </c>
      <c r="K23" s="83">
        <v>82</v>
      </c>
      <c r="L23" s="83">
        <v>82</v>
      </c>
      <c r="M23" s="83">
        <v>82</v>
      </c>
      <c r="N23" s="83">
        <v>82</v>
      </c>
      <c r="O23" s="83">
        <v>82</v>
      </c>
      <c r="P23" s="83">
        <v>82</v>
      </c>
      <c r="Q23" s="83">
        <v>82</v>
      </c>
      <c r="R23" s="83">
        <v>82</v>
      </c>
      <c r="S23" s="83">
        <v>79</v>
      </c>
      <c r="T23" s="83">
        <v>79</v>
      </c>
      <c r="U23" s="83">
        <v>79</v>
      </c>
      <c r="V23" s="83">
        <v>79</v>
      </c>
      <c r="W23" s="83">
        <v>79</v>
      </c>
      <c r="X23" s="83">
        <v>79</v>
      </c>
      <c r="Y23" s="83">
        <v>79</v>
      </c>
      <c r="Z23" s="83">
        <v>85</v>
      </c>
      <c r="AA23" s="83">
        <v>85</v>
      </c>
      <c r="AB23" s="83">
        <v>85</v>
      </c>
      <c r="AC23" s="83">
        <v>85</v>
      </c>
      <c r="AD23" s="83">
        <v>85</v>
      </c>
      <c r="AE23" s="83">
        <v>85</v>
      </c>
      <c r="AF23" s="83">
        <v>85</v>
      </c>
      <c r="AG23" s="83">
        <v>86</v>
      </c>
      <c r="AH23" s="83">
        <v>86</v>
      </c>
      <c r="AI23" s="83">
        <v>86</v>
      </c>
      <c r="AJ23" s="83">
        <v>86</v>
      </c>
      <c r="AK23" s="83">
        <v>86</v>
      </c>
      <c r="AL23" s="83">
        <v>86</v>
      </c>
      <c r="AM23" s="83">
        <v>76</v>
      </c>
      <c r="AN23" s="83">
        <v>76</v>
      </c>
      <c r="AO23" s="83">
        <v>76</v>
      </c>
      <c r="AP23" s="83">
        <v>76</v>
      </c>
      <c r="AQ23" s="83">
        <v>76</v>
      </c>
      <c r="AR23" s="83">
        <v>76</v>
      </c>
      <c r="AS23" s="83">
        <v>76</v>
      </c>
      <c r="AT23" s="83">
        <v>76</v>
      </c>
      <c r="AU23" s="25"/>
      <c r="AV23" s="22"/>
    </row>
    <row r="24" spans="1:48" ht="13.5" customHeight="1" x14ac:dyDescent="0.2">
      <c r="C24" s="4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12"/>
    </row>
    <row r="25" spans="1:48" s="6" customFormat="1" ht="0.9" customHeight="1" x14ac:dyDescent="0.2">
      <c r="C25" s="7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</row>
    <row r="26" spans="1:48" ht="13.5" customHeight="1" thickBot="1" x14ac:dyDescent="0.25"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12"/>
    </row>
    <row r="27" spans="1:48" ht="13.5" customHeight="1" x14ac:dyDescent="0.2">
      <c r="A27" s="5" t="s">
        <v>5</v>
      </c>
      <c r="B27" t="s">
        <v>8</v>
      </c>
      <c r="C27" s="20">
        <f>$C$1</f>
        <v>46174</v>
      </c>
      <c r="D27" s="78" t="s">
        <v>46</v>
      </c>
      <c r="E27" s="69" t="s">
        <v>41</v>
      </c>
      <c r="F27" s="69" t="s">
        <v>37</v>
      </c>
      <c r="G27" s="69" t="s">
        <v>47</v>
      </c>
      <c r="H27" s="70" t="s">
        <v>30</v>
      </c>
      <c r="I27" s="69" t="s">
        <v>42</v>
      </c>
      <c r="J27" s="69" t="s">
        <v>21</v>
      </c>
      <c r="K27" s="69" t="s">
        <v>38</v>
      </c>
      <c r="L27" s="69" t="s">
        <v>31</v>
      </c>
      <c r="M27" s="69" t="s">
        <v>27</v>
      </c>
      <c r="N27" s="69" t="s">
        <v>43</v>
      </c>
      <c r="O27" s="69" t="s">
        <v>25</v>
      </c>
      <c r="P27" s="69" t="s">
        <v>39</v>
      </c>
      <c r="Q27" s="69" t="s">
        <v>32</v>
      </c>
      <c r="R27" s="69" t="s">
        <v>28</v>
      </c>
      <c r="S27" s="69" t="s">
        <v>44</v>
      </c>
      <c r="T27" s="69" t="s">
        <v>26</v>
      </c>
      <c r="U27" s="69" t="s">
        <v>40</v>
      </c>
      <c r="V27" s="69" t="s">
        <v>22</v>
      </c>
      <c r="W27" s="69" t="s">
        <v>29</v>
      </c>
      <c r="X27" s="69" t="s">
        <v>45</v>
      </c>
      <c r="Y27" s="69" t="s">
        <v>33</v>
      </c>
      <c r="Z27" s="69" t="s">
        <v>48</v>
      </c>
      <c r="AA27" s="71" t="s">
        <v>49</v>
      </c>
      <c r="AB27" s="71" t="s">
        <v>37</v>
      </c>
      <c r="AC27" s="71" t="s">
        <v>30</v>
      </c>
      <c r="AD27" s="72" t="s">
        <v>34</v>
      </c>
      <c r="AE27" s="72" t="s">
        <v>21</v>
      </c>
      <c r="AF27" s="72" t="s">
        <v>50</v>
      </c>
      <c r="AG27" s="72" t="s">
        <v>38</v>
      </c>
      <c r="AH27" s="72" t="s">
        <v>27</v>
      </c>
      <c r="AI27" s="72" t="s">
        <v>35</v>
      </c>
      <c r="AJ27" s="72" t="s">
        <v>25</v>
      </c>
      <c r="AK27" s="72" t="s">
        <v>51</v>
      </c>
      <c r="AL27" s="72" t="s">
        <v>39</v>
      </c>
      <c r="AM27" s="72" t="s">
        <v>36</v>
      </c>
      <c r="AN27" s="73" t="s">
        <v>26</v>
      </c>
      <c r="AO27" s="69" t="s">
        <v>52</v>
      </c>
      <c r="AP27" s="69" t="s">
        <v>40</v>
      </c>
      <c r="AQ27" s="69" t="s">
        <v>29</v>
      </c>
      <c r="AR27" s="69" t="s">
        <v>23</v>
      </c>
      <c r="AS27" s="69" t="s">
        <v>33</v>
      </c>
      <c r="AT27" s="69" t="s">
        <v>53</v>
      </c>
      <c r="AU27" s="37"/>
      <c r="AV27" s="24"/>
    </row>
    <row r="28" spans="1:48" s="10" customFormat="1" ht="13.5" customHeight="1" x14ac:dyDescent="0.2">
      <c r="C28" s="17" t="s">
        <v>19</v>
      </c>
      <c r="D28" s="79">
        <v>234441</v>
      </c>
      <c r="E28" s="74">
        <v>229882</v>
      </c>
      <c r="F28" s="74">
        <v>270475</v>
      </c>
      <c r="G28" s="74">
        <v>138726</v>
      </c>
      <c r="H28" s="74">
        <v>196738</v>
      </c>
      <c r="I28" s="74">
        <v>203141</v>
      </c>
      <c r="J28" s="74">
        <v>248728</v>
      </c>
      <c r="K28" s="74">
        <v>194990</v>
      </c>
      <c r="L28" s="74">
        <v>226156</v>
      </c>
      <c r="M28" s="74">
        <v>254203</v>
      </c>
      <c r="N28" s="74">
        <v>261952</v>
      </c>
      <c r="O28" s="74">
        <v>234196</v>
      </c>
      <c r="P28" s="74">
        <v>233738</v>
      </c>
      <c r="Q28" s="74">
        <v>254421</v>
      </c>
      <c r="R28" s="74">
        <v>173156</v>
      </c>
      <c r="S28" s="74">
        <v>292133</v>
      </c>
      <c r="T28" s="74">
        <v>208075</v>
      </c>
      <c r="U28" s="74">
        <v>277053</v>
      </c>
      <c r="V28" s="74">
        <v>220275</v>
      </c>
      <c r="W28" s="74">
        <v>242229</v>
      </c>
      <c r="X28" s="74">
        <v>244361</v>
      </c>
      <c r="Y28" s="74">
        <v>193927</v>
      </c>
      <c r="Z28" s="74">
        <v>245424</v>
      </c>
      <c r="AA28" s="74">
        <v>225849</v>
      </c>
      <c r="AB28" s="74">
        <v>268223</v>
      </c>
      <c r="AC28" s="74">
        <v>288687</v>
      </c>
      <c r="AD28" s="74">
        <v>284603</v>
      </c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15"/>
      <c r="AV28" s="11"/>
    </row>
    <row r="29" spans="1:48" s="10" customFormat="1" ht="13.5" customHeight="1" x14ac:dyDescent="0.2">
      <c r="C29" s="17" t="s">
        <v>3</v>
      </c>
      <c r="D29" s="80">
        <v>234.441</v>
      </c>
      <c r="E29" s="75">
        <v>229.88200000000001</v>
      </c>
      <c r="F29" s="75">
        <v>270.47500000000002</v>
      </c>
      <c r="G29" s="75">
        <v>138.726</v>
      </c>
      <c r="H29" s="75">
        <v>196.738</v>
      </c>
      <c r="I29" s="75">
        <v>203.14099999999999</v>
      </c>
      <c r="J29" s="75">
        <v>248.72800000000001</v>
      </c>
      <c r="K29" s="75">
        <v>194.99</v>
      </c>
      <c r="L29" s="75">
        <v>226.15600000000001</v>
      </c>
      <c r="M29" s="75">
        <v>254.203</v>
      </c>
      <c r="N29" s="75">
        <v>261.952</v>
      </c>
      <c r="O29" s="75">
        <v>234.196</v>
      </c>
      <c r="P29" s="75">
        <v>233.738</v>
      </c>
      <c r="Q29" s="75">
        <v>254.42099999999999</v>
      </c>
      <c r="R29" s="75">
        <v>173.15600000000001</v>
      </c>
      <c r="S29" s="75">
        <v>292.13299999999998</v>
      </c>
      <c r="T29" s="75">
        <v>208.07499999999999</v>
      </c>
      <c r="U29" s="75">
        <v>277.053</v>
      </c>
      <c r="V29" s="75">
        <v>220.27500000000001</v>
      </c>
      <c r="W29" s="75">
        <v>242.22900000000001</v>
      </c>
      <c r="X29" s="75">
        <v>244.36099999999999</v>
      </c>
      <c r="Y29" s="75">
        <v>193.92699999999999</v>
      </c>
      <c r="Z29" s="75">
        <v>245.42400000000001</v>
      </c>
      <c r="AA29" s="75">
        <v>225.84899999999999</v>
      </c>
      <c r="AB29" s="75">
        <v>268.22300000000001</v>
      </c>
      <c r="AC29" s="75">
        <v>288.68700000000001</v>
      </c>
      <c r="AD29" s="75">
        <v>284.60300000000001</v>
      </c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15"/>
      <c r="AV29" s="11"/>
    </row>
    <row r="30" spans="1:48" ht="13.5" customHeight="1" x14ac:dyDescent="0.2">
      <c r="C30" s="18" t="s">
        <v>18</v>
      </c>
      <c r="D30" s="81">
        <v>164</v>
      </c>
      <c r="E30" s="77">
        <v>165</v>
      </c>
      <c r="F30" s="77">
        <v>166</v>
      </c>
      <c r="G30" s="77">
        <v>169</v>
      </c>
      <c r="H30" s="77">
        <v>167</v>
      </c>
      <c r="I30" s="77">
        <v>169</v>
      </c>
      <c r="J30" s="77">
        <v>173</v>
      </c>
      <c r="K30" s="77">
        <v>172</v>
      </c>
      <c r="L30" s="77">
        <v>170</v>
      </c>
      <c r="M30" s="77">
        <v>169</v>
      </c>
      <c r="N30" s="77">
        <v>171</v>
      </c>
      <c r="O30" s="77">
        <v>168</v>
      </c>
      <c r="P30" s="77">
        <v>167</v>
      </c>
      <c r="Q30" s="77">
        <v>164</v>
      </c>
      <c r="R30" s="77">
        <v>170</v>
      </c>
      <c r="S30" s="77">
        <v>158</v>
      </c>
      <c r="T30" s="77">
        <v>166</v>
      </c>
      <c r="U30" s="77">
        <v>158</v>
      </c>
      <c r="V30" s="77">
        <v>171</v>
      </c>
      <c r="W30" s="77">
        <v>168</v>
      </c>
      <c r="X30" s="77">
        <v>159</v>
      </c>
      <c r="Y30" s="77">
        <v>173</v>
      </c>
      <c r="Z30" s="77">
        <v>158</v>
      </c>
      <c r="AA30" s="77">
        <v>156</v>
      </c>
      <c r="AB30" s="77">
        <v>164</v>
      </c>
      <c r="AC30" s="77">
        <v>162</v>
      </c>
      <c r="AD30" s="77">
        <v>158</v>
      </c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16"/>
      <c r="AV30" s="11"/>
    </row>
    <row r="31" spans="1:48" ht="13.5" customHeight="1" thickBot="1" x14ac:dyDescent="0.25">
      <c r="C31" s="19" t="s">
        <v>17</v>
      </c>
      <c r="D31" s="83">
        <v>161</v>
      </c>
      <c r="E31" s="83">
        <v>161</v>
      </c>
      <c r="F31" s="83">
        <v>161</v>
      </c>
      <c r="G31" s="83">
        <v>161</v>
      </c>
      <c r="H31" s="83">
        <v>161</v>
      </c>
      <c r="I31" s="83">
        <v>161</v>
      </c>
      <c r="J31" s="83">
        <v>161</v>
      </c>
      <c r="K31" s="83">
        <v>167</v>
      </c>
      <c r="L31" s="83">
        <v>167</v>
      </c>
      <c r="M31" s="83">
        <v>167</v>
      </c>
      <c r="N31" s="83">
        <v>167</v>
      </c>
      <c r="O31" s="83">
        <v>167</v>
      </c>
      <c r="P31" s="83">
        <v>167</v>
      </c>
      <c r="Q31" s="83">
        <v>167</v>
      </c>
      <c r="R31" s="83">
        <v>167</v>
      </c>
      <c r="S31" s="83">
        <v>160</v>
      </c>
      <c r="T31" s="83">
        <v>160</v>
      </c>
      <c r="U31" s="83">
        <v>160</v>
      </c>
      <c r="V31" s="83">
        <v>160</v>
      </c>
      <c r="W31" s="83">
        <v>160</v>
      </c>
      <c r="X31" s="83">
        <v>160</v>
      </c>
      <c r="Y31" s="83">
        <v>160</v>
      </c>
      <c r="Z31" s="83">
        <v>154</v>
      </c>
      <c r="AA31" s="83">
        <v>154</v>
      </c>
      <c r="AB31" s="83">
        <v>154</v>
      </c>
      <c r="AC31" s="83">
        <v>154</v>
      </c>
      <c r="AD31" s="83">
        <v>154</v>
      </c>
      <c r="AE31" s="83">
        <v>154</v>
      </c>
      <c r="AF31" s="83">
        <v>154</v>
      </c>
      <c r="AG31" s="83">
        <v>166</v>
      </c>
      <c r="AH31" s="83">
        <v>166</v>
      </c>
      <c r="AI31" s="83">
        <v>166</v>
      </c>
      <c r="AJ31" s="83">
        <v>166</v>
      </c>
      <c r="AK31" s="83">
        <v>166</v>
      </c>
      <c r="AL31" s="83">
        <v>166</v>
      </c>
      <c r="AM31" s="83">
        <v>157</v>
      </c>
      <c r="AN31" s="83">
        <v>157</v>
      </c>
      <c r="AO31" s="83">
        <v>157</v>
      </c>
      <c r="AP31" s="83">
        <v>157</v>
      </c>
      <c r="AQ31" s="83">
        <v>157</v>
      </c>
      <c r="AR31" s="83">
        <v>157</v>
      </c>
      <c r="AS31" s="83">
        <v>157</v>
      </c>
      <c r="AT31" s="83">
        <v>157</v>
      </c>
      <c r="AU31" s="25"/>
      <c r="AV31" s="22"/>
    </row>
    <row r="32" spans="1:48" ht="13.5" customHeight="1" thickBot="1" x14ac:dyDescent="0.25"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14"/>
    </row>
    <row r="33" spans="1:48" ht="13.5" customHeight="1" x14ac:dyDescent="0.2">
      <c r="A33" t="s">
        <v>5</v>
      </c>
      <c r="B33" t="s">
        <v>7</v>
      </c>
      <c r="C33" s="26">
        <f>$C$1</f>
        <v>46174</v>
      </c>
      <c r="D33" s="78" t="s">
        <v>46</v>
      </c>
      <c r="E33" s="69" t="s">
        <v>41</v>
      </c>
      <c r="F33" s="69" t="s">
        <v>37</v>
      </c>
      <c r="G33" s="69" t="s">
        <v>47</v>
      </c>
      <c r="H33" s="70" t="s">
        <v>30</v>
      </c>
      <c r="I33" s="69" t="s">
        <v>42</v>
      </c>
      <c r="J33" s="69" t="s">
        <v>21</v>
      </c>
      <c r="K33" s="69" t="s">
        <v>38</v>
      </c>
      <c r="L33" s="69" t="s">
        <v>31</v>
      </c>
      <c r="M33" s="69" t="s">
        <v>27</v>
      </c>
      <c r="N33" s="69" t="s">
        <v>43</v>
      </c>
      <c r="O33" s="69" t="s">
        <v>25</v>
      </c>
      <c r="P33" s="69" t="s">
        <v>39</v>
      </c>
      <c r="Q33" s="69" t="s">
        <v>32</v>
      </c>
      <c r="R33" s="69" t="s">
        <v>28</v>
      </c>
      <c r="S33" s="69" t="s">
        <v>44</v>
      </c>
      <c r="T33" s="69" t="s">
        <v>26</v>
      </c>
      <c r="U33" s="69" t="s">
        <v>40</v>
      </c>
      <c r="V33" s="69" t="s">
        <v>22</v>
      </c>
      <c r="W33" s="69" t="s">
        <v>29</v>
      </c>
      <c r="X33" s="69" t="s">
        <v>45</v>
      </c>
      <c r="Y33" s="69" t="s">
        <v>33</v>
      </c>
      <c r="Z33" s="69" t="s">
        <v>48</v>
      </c>
      <c r="AA33" s="71" t="s">
        <v>49</v>
      </c>
      <c r="AB33" s="71" t="s">
        <v>37</v>
      </c>
      <c r="AC33" s="71" t="s">
        <v>30</v>
      </c>
      <c r="AD33" s="72" t="s">
        <v>34</v>
      </c>
      <c r="AE33" s="72" t="s">
        <v>21</v>
      </c>
      <c r="AF33" s="72" t="s">
        <v>50</v>
      </c>
      <c r="AG33" s="72" t="s">
        <v>38</v>
      </c>
      <c r="AH33" s="72" t="s">
        <v>27</v>
      </c>
      <c r="AI33" s="72" t="s">
        <v>35</v>
      </c>
      <c r="AJ33" s="72" t="s">
        <v>25</v>
      </c>
      <c r="AK33" s="72" t="s">
        <v>51</v>
      </c>
      <c r="AL33" s="72" t="s">
        <v>39</v>
      </c>
      <c r="AM33" s="72" t="s">
        <v>36</v>
      </c>
      <c r="AN33" s="73" t="s">
        <v>26</v>
      </c>
      <c r="AO33" s="69" t="s">
        <v>52</v>
      </c>
      <c r="AP33" s="69" t="s">
        <v>40</v>
      </c>
      <c r="AQ33" s="69" t="s">
        <v>29</v>
      </c>
      <c r="AR33" s="69" t="s">
        <v>23</v>
      </c>
      <c r="AS33" s="69" t="s">
        <v>33</v>
      </c>
      <c r="AT33" s="69" t="s">
        <v>53</v>
      </c>
      <c r="AU33" s="37"/>
      <c r="AV33" s="24"/>
    </row>
    <row r="34" spans="1:48" s="10" customFormat="1" ht="13.5" customHeight="1" x14ac:dyDescent="0.2">
      <c r="C34" s="17" t="s">
        <v>19</v>
      </c>
      <c r="D34" s="79">
        <v>117370</v>
      </c>
      <c r="E34" s="74">
        <v>60746</v>
      </c>
      <c r="F34" s="74">
        <v>83366</v>
      </c>
      <c r="G34" s="74">
        <v>37906</v>
      </c>
      <c r="H34" s="74">
        <v>29961</v>
      </c>
      <c r="I34" s="74">
        <v>94437</v>
      </c>
      <c r="J34" s="74">
        <v>71686</v>
      </c>
      <c r="K34" s="74">
        <v>64687</v>
      </c>
      <c r="L34" s="74">
        <v>48093</v>
      </c>
      <c r="M34" s="74">
        <v>55350</v>
      </c>
      <c r="N34" s="74">
        <v>111608</v>
      </c>
      <c r="O34" s="74">
        <v>80912</v>
      </c>
      <c r="P34" s="74">
        <v>81392</v>
      </c>
      <c r="Q34" s="74">
        <v>57958</v>
      </c>
      <c r="R34" s="74">
        <v>53783</v>
      </c>
      <c r="S34" s="74">
        <v>56901</v>
      </c>
      <c r="T34" s="74">
        <v>30902</v>
      </c>
      <c r="U34" s="74">
        <v>76185</v>
      </c>
      <c r="V34" s="74">
        <v>52667</v>
      </c>
      <c r="W34" s="74">
        <v>55433</v>
      </c>
      <c r="X34" s="74">
        <v>66623</v>
      </c>
      <c r="Y34" s="74">
        <v>68274</v>
      </c>
      <c r="Z34" s="74">
        <v>81835</v>
      </c>
      <c r="AA34" s="74">
        <v>76548</v>
      </c>
      <c r="AB34" s="74">
        <v>63225</v>
      </c>
      <c r="AC34" s="74">
        <v>77876</v>
      </c>
      <c r="AD34" s="74">
        <v>58677</v>
      </c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15"/>
      <c r="AV34" s="11"/>
    </row>
    <row r="35" spans="1:48" s="10" customFormat="1" ht="13.5" customHeight="1" x14ac:dyDescent="0.2">
      <c r="C35" s="17" t="s">
        <v>3</v>
      </c>
      <c r="D35" s="80">
        <v>117.37</v>
      </c>
      <c r="E35" s="75">
        <v>60.746000000000002</v>
      </c>
      <c r="F35" s="75">
        <v>83.366</v>
      </c>
      <c r="G35" s="75">
        <v>37.905999999999999</v>
      </c>
      <c r="H35" s="75">
        <v>29.960999999999999</v>
      </c>
      <c r="I35" s="75">
        <v>94.436999999999998</v>
      </c>
      <c r="J35" s="75">
        <v>71.686000000000007</v>
      </c>
      <c r="K35" s="75">
        <v>64.686999999999998</v>
      </c>
      <c r="L35" s="75">
        <v>48.093000000000004</v>
      </c>
      <c r="M35" s="75">
        <v>55.35</v>
      </c>
      <c r="N35" s="75">
        <v>111.608</v>
      </c>
      <c r="O35" s="75">
        <v>80.912000000000006</v>
      </c>
      <c r="P35" s="75">
        <v>81.391999999999996</v>
      </c>
      <c r="Q35" s="75">
        <v>57.957999999999998</v>
      </c>
      <c r="R35" s="75">
        <v>53.783000000000001</v>
      </c>
      <c r="S35" s="75">
        <v>56.901000000000003</v>
      </c>
      <c r="T35" s="75">
        <v>30.902000000000001</v>
      </c>
      <c r="U35" s="75">
        <v>76.185000000000002</v>
      </c>
      <c r="V35" s="75">
        <v>52.667000000000002</v>
      </c>
      <c r="W35" s="75">
        <v>55.433</v>
      </c>
      <c r="X35" s="75">
        <v>66.623000000000005</v>
      </c>
      <c r="Y35" s="75">
        <v>68.274000000000001</v>
      </c>
      <c r="Z35" s="75">
        <v>81.834999999999994</v>
      </c>
      <c r="AA35" s="75">
        <v>76.548000000000002</v>
      </c>
      <c r="AB35" s="75">
        <v>63.225000000000001</v>
      </c>
      <c r="AC35" s="75">
        <v>77.876000000000005</v>
      </c>
      <c r="AD35" s="75">
        <v>58.677</v>
      </c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15"/>
      <c r="AV35" s="11"/>
    </row>
    <row r="36" spans="1:48" ht="13.5" customHeight="1" x14ac:dyDescent="0.2">
      <c r="C36" s="18" t="s">
        <v>18</v>
      </c>
      <c r="D36" s="81">
        <v>152</v>
      </c>
      <c r="E36" s="77">
        <v>171</v>
      </c>
      <c r="F36" s="77">
        <v>182</v>
      </c>
      <c r="G36" s="77">
        <v>181</v>
      </c>
      <c r="H36" s="77">
        <v>186</v>
      </c>
      <c r="I36" s="77">
        <v>185</v>
      </c>
      <c r="J36" s="77">
        <v>170</v>
      </c>
      <c r="K36" s="77">
        <v>194</v>
      </c>
      <c r="L36" s="77">
        <v>205</v>
      </c>
      <c r="M36" s="77">
        <v>200</v>
      </c>
      <c r="N36" s="77">
        <v>191</v>
      </c>
      <c r="O36" s="77">
        <v>177</v>
      </c>
      <c r="P36" s="77">
        <v>185</v>
      </c>
      <c r="Q36" s="77">
        <v>186</v>
      </c>
      <c r="R36" s="77">
        <v>199</v>
      </c>
      <c r="S36" s="77">
        <v>182</v>
      </c>
      <c r="T36" s="77">
        <v>185</v>
      </c>
      <c r="U36" s="77">
        <v>180</v>
      </c>
      <c r="V36" s="77">
        <v>133</v>
      </c>
      <c r="W36" s="77">
        <v>194</v>
      </c>
      <c r="X36" s="77">
        <v>197</v>
      </c>
      <c r="Y36" s="77">
        <v>180</v>
      </c>
      <c r="Z36" s="77">
        <v>183</v>
      </c>
      <c r="AA36" s="77">
        <v>188</v>
      </c>
      <c r="AB36" s="77">
        <v>182</v>
      </c>
      <c r="AC36" s="77">
        <v>190</v>
      </c>
      <c r="AD36" s="77">
        <v>191</v>
      </c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16"/>
      <c r="AV36" s="11"/>
    </row>
    <row r="37" spans="1:48" ht="13.5" customHeight="1" thickBot="1" x14ac:dyDescent="0.25">
      <c r="C37" s="19" t="s">
        <v>17</v>
      </c>
      <c r="D37" s="83">
        <v>160</v>
      </c>
      <c r="E37" s="83">
        <v>160</v>
      </c>
      <c r="F37" s="83">
        <v>160</v>
      </c>
      <c r="G37" s="83">
        <v>160</v>
      </c>
      <c r="H37" s="83">
        <v>160</v>
      </c>
      <c r="I37" s="83">
        <v>160</v>
      </c>
      <c r="J37" s="83">
        <v>160</v>
      </c>
      <c r="K37" s="83">
        <v>182</v>
      </c>
      <c r="L37" s="83">
        <v>182</v>
      </c>
      <c r="M37" s="83">
        <v>182</v>
      </c>
      <c r="N37" s="83">
        <v>182</v>
      </c>
      <c r="O37" s="83">
        <v>182</v>
      </c>
      <c r="P37" s="83">
        <v>182</v>
      </c>
      <c r="Q37" s="83">
        <v>182</v>
      </c>
      <c r="R37" s="83">
        <v>182</v>
      </c>
      <c r="S37" s="83">
        <v>168</v>
      </c>
      <c r="T37" s="83">
        <v>168</v>
      </c>
      <c r="U37" s="83">
        <v>168</v>
      </c>
      <c r="V37" s="83">
        <v>168</v>
      </c>
      <c r="W37" s="83">
        <v>168</v>
      </c>
      <c r="X37" s="83">
        <v>168</v>
      </c>
      <c r="Y37" s="83">
        <v>168</v>
      </c>
      <c r="Z37" s="83">
        <v>163</v>
      </c>
      <c r="AA37" s="83">
        <v>163</v>
      </c>
      <c r="AB37" s="83">
        <v>163</v>
      </c>
      <c r="AC37" s="83">
        <v>163</v>
      </c>
      <c r="AD37" s="83">
        <v>163</v>
      </c>
      <c r="AE37" s="83">
        <v>163</v>
      </c>
      <c r="AF37" s="83">
        <v>163</v>
      </c>
      <c r="AG37" s="83">
        <v>174</v>
      </c>
      <c r="AH37" s="83">
        <v>174</v>
      </c>
      <c r="AI37" s="83">
        <v>174</v>
      </c>
      <c r="AJ37" s="83">
        <v>174</v>
      </c>
      <c r="AK37" s="83">
        <v>174</v>
      </c>
      <c r="AL37" s="83">
        <v>174</v>
      </c>
      <c r="AM37" s="83">
        <v>164</v>
      </c>
      <c r="AN37" s="83">
        <v>164</v>
      </c>
      <c r="AO37" s="83">
        <v>164</v>
      </c>
      <c r="AP37" s="83">
        <v>164</v>
      </c>
      <c r="AQ37" s="83">
        <v>164</v>
      </c>
      <c r="AR37" s="83">
        <v>164</v>
      </c>
      <c r="AS37" s="83">
        <v>164</v>
      </c>
      <c r="AT37" s="83">
        <v>164</v>
      </c>
      <c r="AU37" s="25"/>
      <c r="AV37" s="22"/>
    </row>
    <row r="38" spans="1:48" ht="13.5" customHeight="1" thickBot="1" x14ac:dyDescent="0.25"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14"/>
    </row>
    <row r="39" spans="1:48" ht="13.5" customHeight="1" x14ac:dyDescent="0.2">
      <c r="A39" t="s">
        <v>5</v>
      </c>
      <c r="B39" t="s">
        <v>6</v>
      </c>
      <c r="C39" s="26">
        <f>$C$1</f>
        <v>46174</v>
      </c>
      <c r="D39" s="78" t="s">
        <v>46</v>
      </c>
      <c r="E39" s="69" t="s">
        <v>41</v>
      </c>
      <c r="F39" s="69" t="s">
        <v>37</v>
      </c>
      <c r="G39" s="69" t="s">
        <v>47</v>
      </c>
      <c r="H39" s="70" t="s">
        <v>30</v>
      </c>
      <c r="I39" s="69" t="s">
        <v>42</v>
      </c>
      <c r="J39" s="69" t="s">
        <v>21</v>
      </c>
      <c r="K39" s="69" t="s">
        <v>38</v>
      </c>
      <c r="L39" s="69" t="s">
        <v>31</v>
      </c>
      <c r="M39" s="69" t="s">
        <v>27</v>
      </c>
      <c r="N39" s="69" t="s">
        <v>43</v>
      </c>
      <c r="O39" s="69" t="s">
        <v>25</v>
      </c>
      <c r="P39" s="69" t="s">
        <v>39</v>
      </c>
      <c r="Q39" s="69" t="s">
        <v>32</v>
      </c>
      <c r="R39" s="69" t="s">
        <v>28</v>
      </c>
      <c r="S39" s="69" t="s">
        <v>44</v>
      </c>
      <c r="T39" s="69" t="s">
        <v>26</v>
      </c>
      <c r="U39" s="69" t="s">
        <v>40</v>
      </c>
      <c r="V39" s="69" t="s">
        <v>22</v>
      </c>
      <c r="W39" s="69" t="s">
        <v>29</v>
      </c>
      <c r="X39" s="69" t="s">
        <v>45</v>
      </c>
      <c r="Y39" s="69" t="s">
        <v>33</v>
      </c>
      <c r="Z39" s="69" t="s">
        <v>48</v>
      </c>
      <c r="AA39" s="71" t="s">
        <v>49</v>
      </c>
      <c r="AB39" s="71" t="s">
        <v>37</v>
      </c>
      <c r="AC39" s="71" t="s">
        <v>30</v>
      </c>
      <c r="AD39" s="72" t="s">
        <v>34</v>
      </c>
      <c r="AE39" s="72" t="s">
        <v>21</v>
      </c>
      <c r="AF39" s="72" t="s">
        <v>50</v>
      </c>
      <c r="AG39" s="72" t="s">
        <v>38</v>
      </c>
      <c r="AH39" s="72" t="s">
        <v>27</v>
      </c>
      <c r="AI39" s="72" t="s">
        <v>35</v>
      </c>
      <c r="AJ39" s="72" t="s">
        <v>25</v>
      </c>
      <c r="AK39" s="72" t="s">
        <v>51</v>
      </c>
      <c r="AL39" s="72" t="s">
        <v>39</v>
      </c>
      <c r="AM39" s="72" t="s">
        <v>36</v>
      </c>
      <c r="AN39" s="73" t="s">
        <v>26</v>
      </c>
      <c r="AO39" s="69" t="s">
        <v>52</v>
      </c>
      <c r="AP39" s="69" t="s">
        <v>40</v>
      </c>
      <c r="AQ39" s="69" t="s">
        <v>29</v>
      </c>
      <c r="AR39" s="69" t="s">
        <v>23</v>
      </c>
      <c r="AS39" s="69" t="s">
        <v>33</v>
      </c>
      <c r="AT39" s="69" t="s">
        <v>53</v>
      </c>
      <c r="AU39" s="37"/>
      <c r="AV39" s="24"/>
    </row>
    <row r="40" spans="1:48" s="10" customFormat="1" ht="13.5" customHeight="1" x14ac:dyDescent="0.2">
      <c r="C40" s="17" t="s">
        <v>19</v>
      </c>
      <c r="D40" s="79">
        <v>104050</v>
      </c>
      <c r="E40" s="74">
        <v>68750</v>
      </c>
      <c r="F40" s="74">
        <v>133980</v>
      </c>
      <c r="G40" s="74">
        <v>55870</v>
      </c>
      <c r="H40" s="74">
        <v>79190</v>
      </c>
      <c r="I40" s="74">
        <v>122140</v>
      </c>
      <c r="J40" s="74">
        <v>72500</v>
      </c>
      <c r="K40" s="74">
        <v>148180</v>
      </c>
      <c r="L40" s="74">
        <v>101000</v>
      </c>
      <c r="M40" s="74">
        <v>105460</v>
      </c>
      <c r="N40" s="74">
        <v>135320</v>
      </c>
      <c r="O40" s="74">
        <v>77100</v>
      </c>
      <c r="P40" s="74">
        <v>150910</v>
      </c>
      <c r="Q40" s="74">
        <v>86740</v>
      </c>
      <c r="R40" s="74">
        <v>98420</v>
      </c>
      <c r="S40" s="74">
        <v>108670</v>
      </c>
      <c r="T40" s="74">
        <v>66560</v>
      </c>
      <c r="U40" s="74">
        <v>126250</v>
      </c>
      <c r="V40" s="74">
        <v>109410</v>
      </c>
      <c r="W40" s="74">
        <v>108510</v>
      </c>
      <c r="X40" s="74">
        <v>110800</v>
      </c>
      <c r="Y40" s="74">
        <v>91920</v>
      </c>
      <c r="Z40" s="74">
        <v>114580</v>
      </c>
      <c r="AA40" s="74">
        <v>110530</v>
      </c>
      <c r="AB40" s="74">
        <v>102050</v>
      </c>
      <c r="AC40" s="74">
        <v>124220</v>
      </c>
      <c r="AD40" s="74">
        <v>102420</v>
      </c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15"/>
      <c r="AV40" s="11"/>
    </row>
    <row r="41" spans="1:48" s="10" customFormat="1" ht="13.5" customHeight="1" x14ac:dyDescent="0.2">
      <c r="C41" s="17" t="s">
        <v>3</v>
      </c>
      <c r="D41" s="80">
        <v>104.05</v>
      </c>
      <c r="E41" s="75">
        <v>68.75</v>
      </c>
      <c r="F41" s="75">
        <v>133.97999999999999</v>
      </c>
      <c r="G41" s="75">
        <v>55.87</v>
      </c>
      <c r="H41" s="75">
        <v>79.19</v>
      </c>
      <c r="I41" s="75">
        <v>122.14</v>
      </c>
      <c r="J41" s="75">
        <v>72.5</v>
      </c>
      <c r="K41" s="75">
        <v>148.18</v>
      </c>
      <c r="L41" s="75">
        <v>101</v>
      </c>
      <c r="M41" s="75">
        <v>105.46</v>
      </c>
      <c r="N41" s="75">
        <v>135.32</v>
      </c>
      <c r="O41" s="75">
        <v>77.099999999999994</v>
      </c>
      <c r="P41" s="75">
        <v>150.91</v>
      </c>
      <c r="Q41" s="75">
        <v>86.74</v>
      </c>
      <c r="R41" s="75">
        <v>98.42</v>
      </c>
      <c r="S41" s="75">
        <v>108.67</v>
      </c>
      <c r="T41" s="75">
        <v>66.56</v>
      </c>
      <c r="U41" s="75">
        <v>126.25</v>
      </c>
      <c r="V41" s="75">
        <v>109.41</v>
      </c>
      <c r="W41" s="75">
        <v>108.51</v>
      </c>
      <c r="X41" s="75">
        <v>110.8</v>
      </c>
      <c r="Y41" s="75">
        <v>91.92</v>
      </c>
      <c r="Z41" s="75">
        <v>114.58</v>
      </c>
      <c r="AA41" s="75">
        <v>110.53</v>
      </c>
      <c r="AB41" s="75">
        <v>102.05</v>
      </c>
      <c r="AC41" s="75">
        <v>124.22</v>
      </c>
      <c r="AD41" s="75">
        <v>102.42</v>
      </c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15"/>
      <c r="AV41" s="11"/>
    </row>
    <row r="42" spans="1:48" ht="13.5" customHeight="1" x14ac:dyDescent="0.2">
      <c r="C42" s="18" t="s">
        <v>18</v>
      </c>
      <c r="D42" s="81">
        <v>141</v>
      </c>
      <c r="E42" s="77">
        <v>141</v>
      </c>
      <c r="F42" s="77">
        <v>135</v>
      </c>
      <c r="G42" s="77">
        <v>151</v>
      </c>
      <c r="H42" s="77">
        <v>159</v>
      </c>
      <c r="I42" s="77">
        <v>159</v>
      </c>
      <c r="J42" s="77">
        <v>168</v>
      </c>
      <c r="K42" s="77">
        <v>159</v>
      </c>
      <c r="L42" s="77">
        <v>164</v>
      </c>
      <c r="M42" s="77">
        <v>164</v>
      </c>
      <c r="N42" s="77">
        <v>153</v>
      </c>
      <c r="O42" s="77">
        <v>164</v>
      </c>
      <c r="P42" s="77">
        <v>153</v>
      </c>
      <c r="Q42" s="77">
        <v>155</v>
      </c>
      <c r="R42" s="77">
        <v>153</v>
      </c>
      <c r="S42" s="77">
        <v>153</v>
      </c>
      <c r="T42" s="77">
        <v>158</v>
      </c>
      <c r="U42" s="77">
        <v>157</v>
      </c>
      <c r="V42" s="77">
        <v>160</v>
      </c>
      <c r="W42" s="77">
        <v>170</v>
      </c>
      <c r="X42" s="77">
        <v>173</v>
      </c>
      <c r="Y42" s="77">
        <v>157</v>
      </c>
      <c r="Z42" s="77">
        <v>157</v>
      </c>
      <c r="AA42" s="77">
        <v>160</v>
      </c>
      <c r="AB42" s="77">
        <v>156</v>
      </c>
      <c r="AC42" s="77">
        <v>173</v>
      </c>
      <c r="AD42" s="77">
        <v>166</v>
      </c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16"/>
      <c r="AV42" s="11"/>
    </row>
    <row r="43" spans="1:48" ht="13.8" thickBot="1" x14ac:dyDescent="0.25">
      <c r="C43" s="19" t="s">
        <v>17</v>
      </c>
      <c r="D43" s="82">
        <v>140</v>
      </c>
      <c r="E43" s="82">
        <v>140</v>
      </c>
      <c r="F43" s="82">
        <v>140</v>
      </c>
      <c r="G43" s="82">
        <v>140</v>
      </c>
      <c r="H43" s="82">
        <v>140</v>
      </c>
      <c r="I43" s="82">
        <v>140</v>
      </c>
      <c r="J43" s="82">
        <v>140</v>
      </c>
      <c r="K43" s="82">
        <v>143</v>
      </c>
      <c r="L43" s="82">
        <v>143</v>
      </c>
      <c r="M43" s="82">
        <v>143</v>
      </c>
      <c r="N43" s="82">
        <v>143</v>
      </c>
      <c r="O43" s="82">
        <v>143</v>
      </c>
      <c r="P43" s="82">
        <v>143</v>
      </c>
      <c r="Q43" s="82">
        <v>143</v>
      </c>
      <c r="R43" s="82">
        <v>143</v>
      </c>
      <c r="S43" s="82">
        <v>138</v>
      </c>
      <c r="T43" s="82">
        <v>138</v>
      </c>
      <c r="U43" s="82">
        <v>138</v>
      </c>
      <c r="V43" s="82">
        <v>138</v>
      </c>
      <c r="W43" s="82">
        <v>138</v>
      </c>
      <c r="X43" s="82">
        <v>138</v>
      </c>
      <c r="Y43" s="82">
        <v>138</v>
      </c>
      <c r="Z43" s="82">
        <v>147</v>
      </c>
      <c r="AA43" s="82">
        <v>147</v>
      </c>
      <c r="AB43" s="82">
        <v>147</v>
      </c>
      <c r="AC43" s="82">
        <v>147</v>
      </c>
      <c r="AD43" s="82">
        <v>147</v>
      </c>
      <c r="AE43" s="82">
        <v>147</v>
      </c>
      <c r="AF43" s="82">
        <v>147</v>
      </c>
      <c r="AG43" s="82">
        <v>172</v>
      </c>
      <c r="AH43" s="82">
        <v>172</v>
      </c>
      <c r="AI43" s="82">
        <v>172</v>
      </c>
      <c r="AJ43" s="82">
        <v>172</v>
      </c>
      <c r="AK43" s="82">
        <v>172</v>
      </c>
      <c r="AL43" s="82">
        <v>172</v>
      </c>
      <c r="AM43" s="82">
        <v>167</v>
      </c>
      <c r="AN43" s="82">
        <v>167</v>
      </c>
      <c r="AO43" s="82">
        <v>167</v>
      </c>
      <c r="AP43" s="82">
        <v>167</v>
      </c>
      <c r="AQ43" s="82">
        <v>167</v>
      </c>
      <c r="AR43" s="82">
        <v>167</v>
      </c>
      <c r="AS43" s="82">
        <v>167</v>
      </c>
      <c r="AT43" s="82">
        <v>167</v>
      </c>
      <c r="AU43" s="21"/>
      <c r="AV43" s="22"/>
    </row>
    <row r="44" spans="1:48" ht="13.5" customHeight="1" thickBot="1" x14ac:dyDescent="0.25"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12"/>
    </row>
    <row r="45" spans="1:48" ht="13.5" customHeight="1" x14ac:dyDescent="0.2">
      <c r="A45" t="s">
        <v>5</v>
      </c>
      <c r="B45" t="s">
        <v>4</v>
      </c>
      <c r="C45" s="26">
        <f>$C$1</f>
        <v>46174</v>
      </c>
      <c r="D45" s="78" t="s">
        <v>46</v>
      </c>
      <c r="E45" s="69" t="s">
        <v>41</v>
      </c>
      <c r="F45" s="69" t="s">
        <v>37</v>
      </c>
      <c r="G45" s="69" t="s">
        <v>47</v>
      </c>
      <c r="H45" s="70" t="s">
        <v>30</v>
      </c>
      <c r="I45" s="69" t="s">
        <v>42</v>
      </c>
      <c r="J45" s="69" t="s">
        <v>21</v>
      </c>
      <c r="K45" s="69" t="s">
        <v>38</v>
      </c>
      <c r="L45" s="69" t="s">
        <v>31</v>
      </c>
      <c r="M45" s="69" t="s">
        <v>27</v>
      </c>
      <c r="N45" s="69" t="s">
        <v>43</v>
      </c>
      <c r="O45" s="69" t="s">
        <v>25</v>
      </c>
      <c r="P45" s="69" t="s">
        <v>39</v>
      </c>
      <c r="Q45" s="69" t="s">
        <v>32</v>
      </c>
      <c r="R45" s="69" t="s">
        <v>28</v>
      </c>
      <c r="S45" s="69" t="s">
        <v>44</v>
      </c>
      <c r="T45" s="69" t="s">
        <v>26</v>
      </c>
      <c r="U45" s="69" t="s">
        <v>40</v>
      </c>
      <c r="V45" s="69" t="s">
        <v>22</v>
      </c>
      <c r="W45" s="69" t="s">
        <v>29</v>
      </c>
      <c r="X45" s="69" t="s">
        <v>45</v>
      </c>
      <c r="Y45" s="69" t="s">
        <v>33</v>
      </c>
      <c r="Z45" s="69" t="s">
        <v>48</v>
      </c>
      <c r="AA45" s="71" t="s">
        <v>49</v>
      </c>
      <c r="AB45" s="71" t="s">
        <v>37</v>
      </c>
      <c r="AC45" s="71" t="s">
        <v>30</v>
      </c>
      <c r="AD45" s="72" t="s">
        <v>34</v>
      </c>
      <c r="AE45" s="72" t="s">
        <v>21</v>
      </c>
      <c r="AF45" s="72" t="s">
        <v>50</v>
      </c>
      <c r="AG45" s="72" t="s">
        <v>38</v>
      </c>
      <c r="AH45" s="72" t="s">
        <v>27</v>
      </c>
      <c r="AI45" s="72" t="s">
        <v>35</v>
      </c>
      <c r="AJ45" s="72" t="s">
        <v>25</v>
      </c>
      <c r="AK45" s="72" t="s">
        <v>51</v>
      </c>
      <c r="AL45" s="72" t="s">
        <v>39</v>
      </c>
      <c r="AM45" s="72" t="s">
        <v>36</v>
      </c>
      <c r="AN45" s="73" t="s">
        <v>26</v>
      </c>
      <c r="AO45" s="69" t="s">
        <v>52</v>
      </c>
      <c r="AP45" s="69" t="s">
        <v>40</v>
      </c>
      <c r="AQ45" s="69" t="s">
        <v>29</v>
      </c>
      <c r="AR45" s="69" t="s">
        <v>23</v>
      </c>
      <c r="AS45" s="69" t="s">
        <v>33</v>
      </c>
      <c r="AT45" s="69" t="s">
        <v>53</v>
      </c>
      <c r="AU45" s="37"/>
      <c r="AV45" s="24"/>
    </row>
    <row r="46" spans="1:48" s="10" customFormat="1" ht="13.5" customHeight="1" x14ac:dyDescent="0.2">
      <c r="C46" s="17" t="s">
        <v>19</v>
      </c>
      <c r="D46" s="79">
        <v>48380</v>
      </c>
      <c r="E46" s="74">
        <v>52140</v>
      </c>
      <c r="F46" s="74">
        <v>49550</v>
      </c>
      <c r="G46" s="74">
        <v>43970</v>
      </c>
      <c r="H46" s="74">
        <v>68667</v>
      </c>
      <c r="I46" s="74">
        <v>44330</v>
      </c>
      <c r="J46" s="74">
        <v>48230</v>
      </c>
      <c r="K46" s="74">
        <v>46293</v>
      </c>
      <c r="L46" s="74">
        <v>46030</v>
      </c>
      <c r="M46" s="74">
        <v>69300</v>
      </c>
      <c r="N46" s="74">
        <v>44610</v>
      </c>
      <c r="O46" s="74">
        <v>41570</v>
      </c>
      <c r="P46" s="74">
        <v>49614</v>
      </c>
      <c r="Q46" s="74">
        <v>45658</v>
      </c>
      <c r="R46" s="74">
        <v>42590</v>
      </c>
      <c r="S46" s="74">
        <v>70190</v>
      </c>
      <c r="T46" s="74">
        <v>46770</v>
      </c>
      <c r="U46" s="74">
        <v>40304</v>
      </c>
      <c r="V46" s="74">
        <v>43440</v>
      </c>
      <c r="W46" s="74">
        <v>38714</v>
      </c>
      <c r="X46" s="74">
        <v>42977</v>
      </c>
      <c r="Y46" s="74">
        <v>42890</v>
      </c>
      <c r="Z46" s="74">
        <v>51315</v>
      </c>
      <c r="AA46" s="74">
        <v>45964</v>
      </c>
      <c r="AB46" s="74">
        <v>52316</v>
      </c>
      <c r="AC46" s="74">
        <v>64710</v>
      </c>
      <c r="AD46" s="74">
        <v>44350</v>
      </c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15"/>
      <c r="AV46" s="11"/>
    </row>
    <row r="47" spans="1:48" s="10" customFormat="1" ht="13.5" customHeight="1" x14ac:dyDescent="0.2">
      <c r="C47" s="17" t="s">
        <v>3</v>
      </c>
      <c r="D47" s="80">
        <v>48.38</v>
      </c>
      <c r="E47" s="75">
        <v>52.14</v>
      </c>
      <c r="F47" s="75">
        <v>49.55</v>
      </c>
      <c r="G47" s="75">
        <v>43.97</v>
      </c>
      <c r="H47" s="75">
        <v>68.667000000000002</v>
      </c>
      <c r="I47" s="75">
        <v>44.33</v>
      </c>
      <c r="J47" s="75">
        <v>48.23</v>
      </c>
      <c r="K47" s="75">
        <v>46.292999999999999</v>
      </c>
      <c r="L47" s="75">
        <v>46.03</v>
      </c>
      <c r="M47" s="75">
        <v>69.3</v>
      </c>
      <c r="N47" s="75">
        <v>44.61</v>
      </c>
      <c r="O47" s="75">
        <v>41.57</v>
      </c>
      <c r="P47" s="75">
        <v>49.613999999999997</v>
      </c>
      <c r="Q47" s="75">
        <v>45.658000000000001</v>
      </c>
      <c r="R47" s="75">
        <v>42.59</v>
      </c>
      <c r="S47" s="75">
        <v>70.19</v>
      </c>
      <c r="T47" s="75">
        <v>46.77</v>
      </c>
      <c r="U47" s="75">
        <v>40.304000000000002</v>
      </c>
      <c r="V47" s="75">
        <v>43.44</v>
      </c>
      <c r="W47" s="75">
        <v>38.713999999999999</v>
      </c>
      <c r="X47" s="75">
        <v>42.976999999999997</v>
      </c>
      <c r="Y47" s="75">
        <v>42.89</v>
      </c>
      <c r="Z47" s="75">
        <v>51.314999999999998</v>
      </c>
      <c r="AA47" s="75">
        <v>45.963999999999999</v>
      </c>
      <c r="AB47" s="75">
        <v>52.316000000000003</v>
      </c>
      <c r="AC47" s="75">
        <v>64.709999999999994</v>
      </c>
      <c r="AD47" s="75">
        <v>44.35</v>
      </c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15"/>
      <c r="AV47" s="11"/>
    </row>
    <row r="48" spans="1:48" ht="13.5" customHeight="1" x14ac:dyDescent="0.2">
      <c r="C48" s="18" t="s">
        <v>18</v>
      </c>
      <c r="D48" s="81">
        <v>122</v>
      </c>
      <c r="E48" s="77">
        <v>135</v>
      </c>
      <c r="F48" s="77">
        <v>133</v>
      </c>
      <c r="G48" s="77">
        <v>130</v>
      </c>
      <c r="H48" s="77">
        <v>114</v>
      </c>
      <c r="I48" s="77">
        <v>138</v>
      </c>
      <c r="J48" s="77">
        <v>139</v>
      </c>
      <c r="K48" s="77">
        <v>136</v>
      </c>
      <c r="L48" s="77">
        <v>136</v>
      </c>
      <c r="M48" s="77">
        <v>125</v>
      </c>
      <c r="N48" s="77">
        <v>131</v>
      </c>
      <c r="O48" s="77">
        <v>144</v>
      </c>
      <c r="P48" s="77">
        <v>129</v>
      </c>
      <c r="Q48" s="77">
        <v>124</v>
      </c>
      <c r="R48" s="77">
        <v>126</v>
      </c>
      <c r="S48" s="77">
        <v>128</v>
      </c>
      <c r="T48" s="77">
        <v>136</v>
      </c>
      <c r="U48" s="77">
        <v>150</v>
      </c>
      <c r="V48" s="77">
        <v>149</v>
      </c>
      <c r="W48" s="77">
        <v>138</v>
      </c>
      <c r="X48" s="77">
        <v>174</v>
      </c>
      <c r="Y48" s="77">
        <v>160</v>
      </c>
      <c r="Z48" s="77">
        <v>164</v>
      </c>
      <c r="AA48" s="77">
        <v>163</v>
      </c>
      <c r="AB48" s="77">
        <v>163</v>
      </c>
      <c r="AC48" s="77">
        <v>162</v>
      </c>
      <c r="AD48" s="77">
        <v>162</v>
      </c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16"/>
      <c r="AV48" s="11"/>
    </row>
    <row r="49" spans="3:48" ht="13.5" customHeight="1" thickBot="1" x14ac:dyDescent="0.25">
      <c r="C49" s="19" t="s">
        <v>17</v>
      </c>
      <c r="D49" s="83">
        <v>128</v>
      </c>
      <c r="E49" s="83">
        <v>128</v>
      </c>
      <c r="F49" s="83">
        <v>128</v>
      </c>
      <c r="G49" s="83">
        <v>128</v>
      </c>
      <c r="H49" s="83">
        <v>128</v>
      </c>
      <c r="I49" s="83">
        <v>128</v>
      </c>
      <c r="J49" s="83">
        <v>128</v>
      </c>
      <c r="K49" s="83">
        <v>133</v>
      </c>
      <c r="L49" s="83">
        <v>133</v>
      </c>
      <c r="M49" s="83">
        <v>133</v>
      </c>
      <c r="N49" s="83">
        <v>133</v>
      </c>
      <c r="O49" s="83">
        <v>133</v>
      </c>
      <c r="P49" s="83">
        <v>133</v>
      </c>
      <c r="Q49" s="83">
        <v>133</v>
      </c>
      <c r="R49" s="83">
        <v>133</v>
      </c>
      <c r="S49" s="83">
        <v>127</v>
      </c>
      <c r="T49" s="83">
        <v>127</v>
      </c>
      <c r="U49" s="83">
        <v>127</v>
      </c>
      <c r="V49" s="83">
        <v>127</v>
      </c>
      <c r="W49" s="83">
        <v>127</v>
      </c>
      <c r="X49" s="83">
        <v>127</v>
      </c>
      <c r="Y49" s="83">
        <v>127</v>
      </c>
      <c r="Z49" s="83">
        <v>148</v>
      </c>
      <c r="AA49" s="83">
        <v>148</v>
      </c>
      <c r="AB49" s="83">
        <v>148</v>
      </c>
      <c r="AC49" s="83">
        <v>148</v>
      </c>
      <c r="AD49" s="83">
        <v>148</v>
      </c>
      <c r="AE49" s="83">
        <v>148</v>
      </c>
      <c r="AF49" s="83">
        <v>148</v>
      </c>
      <c r="AG49" s="83">
        <v>159</v>
      </c>
      <c r="AH49" s="83">
        <v>159</v>
      </c>
      <c r="AI49" s="83">
        <v>159</v>
      </c>
      <c r="AJ49" s="83">
        <v>159</v>
      </c>
      <c r="AK49" s="83">
        <v>159</v>
      </c>
      <c r="AL49" s="83">
        <v>159</v>
      </c>
      <c r="AM49" s="83">
        <v>164</v>
      </c>
      <c r="AN49" s="83">
        <v>164</v>
      </c>
      <c r="AO49" s="83">
        <v>164</v>
      </c>
      <c r="AP49" s="83">
        <v>164</v>
      </c>
      <c r="AQ49" s="83">
        <v>164</v>
      </c>
      <c r="AR49" s="83">
        <v>164</v>
      </c>
      <c r="AS49" s="83">
        <v>164</v>
      </c>
      <c r="AT49" s="83">
        <v>164</v>
      </c>
      <c r="AU49" s="21"/>
      <c r="AV49" s="22"/>
    </row>
    <row r="50" spans="3:48" ht="13.5" customHeight="1" x14ac:dyDescent="0.2">
      <c r="C50" s="4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Y50" s="8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3:48" s="6" customFormat="1" ht="0.9" customHeight="1" x14ac:dyDescent="0.2">
      <c r="C51" s="7"/>
      <c r="E51" s="9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Y51" s="9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</row>
  </sheetData>
  <phoneticPr fontId="1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だいこん</vt:lpstr>
      <vt:lpstr>にんじん</vt:lpstr>
      <vt:lpstr>集計表</vt:lpstr>
      <vt:lpstr>だいこん!Print_Area</vt:lpstr>
      <vt:lpstr>にんじん!Print_Area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2025-12-01T00:31:12Z</dcterms:created>
  <dcterms:modified xsi:type="dcterms:W3CDTF">2026-07-09T06:27:04Z</dcterms:modified>
</cp:coreProperties>
</file>