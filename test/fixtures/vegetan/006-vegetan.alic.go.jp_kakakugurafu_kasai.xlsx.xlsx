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drawings/drawing17.xml" ContentType="application/vnd.openxmlformats-officedocument.drawingml.chartshapes+xml"/>
  <Override PartName="/xl/charts/chart14.xml" ContentType="application/vnd.openxmlformats-officedocument.drawingml.chart+xml"/>
  <Override PartName="/xl/drawings/drawing18.xml" ContentType="application/vnd.openxmlformats-officedocument.drawingml.chartshapes+xml"/>
  <Override PartName="/xl/charts/chart15.xml" ContentType="application/vnd.openxmlformats-officedocument.drawingml.chart+xml"/>
  <Override PartName="/xl/drawings/drawing19.xml" ContentType="application/vnd.openxmlformats-officedocument.drawingml.chartshapes+xml"/>
  <Override PartName="/xl/charts/chart16.xml" ContentType="application/vnd.openxmlformats-officedocument.drawingml.chart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/>
  <xr:revisionPtr revIDLastSave="0" documentId="13_ncr:1_{F9114820-2FDE-4E2D-B1F3-2C284FBBEF7F}" xr6:coauthVersionLast="47" xr6:coauthVersionMax="47" xr10:uidLastSave="{00000000-0000-0000-0000-000000000000}"/>
  <bookViews>
    <workbookView xWindow="28680" yWindow="-3555" windowWidth="29040" windowHeight="15720" tabRatio="544" xr2:uid="{00000000-000D-0000-FFFF-FFFF00000000}"/>
  </bookViews>
  <sheets>
    <sheet name="きゅうり" sheetId="1" r:id="rId1"/>
    <sheet name="トマト" sheetId="4" r:id="rId2"/>
    <sheet name="なす" sheetId="5" r:id="rId3"/>
    <sheet name="ピーマン" sheetId="11" r:id="rId4"/>
    <sheet name="集計表" sheetId="14" r:id="rId5"/>
  </sheets>
  <definedNames>
    <definedName name="_xlnm.Print_Area" localSheetId="0">きゅうり!$A$1:$AS$160</definedName>
    <definedName name="_xlnm.Print_Area" localSheetId="1">トマト!$A$1:$AS$160</definedName>
    <definedName name="_xlnm.Print_Area" localSheetId="2">なす!$A$1:$AS$160</definedName>
    <definedName name="_xlnm.Print_Area" localSheetId="3">ピーマン!$A$1:$AS$160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58" i="11" l="1"/>
  <c r="AR157" i="11"/>
  <c r="AR159" i="11" s="1"/>
  <c r="AR156" i="11"/>
  <c r="AR155" i="11"/>
  <c r="AR118" i="11"/>
  <c r="AR117" i="11"/>
  <c r="AR119" i="11" s="1"/>
  <c r="AR116" i="11"/>
  <c r="AR115" i="11"/>
  <c r="AR78" i="11"/>
  <c r="AR77" i="11"/>
  <c r="AR79" i="11" s="1"/>
  <c r="AR76" i="11"/>
  <c r="AR75" i="11"/>
  <c r="AR38" i="11"/>
  <c r="AR37" i="11"/>
  <c r="AR39" i="11" s="1"/>
  <c r="AR36" i="11"/>
  <c r="AR35" i="11"/>
  <c r="AR158" i="5"/>
  <c r="AR157" i="5"/>
  <c r="AR159" i="5" s="1"/>
  <c r="AR156" i="5"/>
  <c r="AR155" i="5"/>
  <c r="AR118" i="5"/>
  <c r="AR117" i="5"/>
  <c r="AR116" i="5"/>
  <c r="AR115" i="5"/>
  <c r="AR78" i="5"/>
  <c r="AR77" i="5"/>
  <c r="AR79" i="5" s="1"/>
  <c r="AR76" i="5"/>
  <c r="AR75" i="5"/>
  <c r="AR38" i="5"/>
  <c r="AR37" i="5"/>
  <c r="AR39" i="5" s="1"/>
  <c r="AR36" i="5"/>
  <c r="AR35" i="5"/>
  <c r="AR158" i="4"/>
  <c r="AR157" i="4"/>
  <c r="AR156" i="4"/>
  <c r="AR155" i="4"/>
  <c r="AR118" i="4"/>
  <c r="AR117" i="4"/>
  <c r="AR119" i="4" s="1"/>
  <c r="AR116" i="4"/>
  <c r="AR115" i="4"/>
  <c r="AR78" i="4"/>
  <c r="AR77" i="4"/>
  <c r="AR79" i="4" s="1"/>
  <c r="AR76" i="4"/>
  <c r="AR75" i="4"/>
  <c r="AR38" i="4"/>
  <c r="AR37" i="4"/>
  <c r="AR39" i="4" s="1"/>
  <c r="AR36" i="4"/>
  <c r="AR35" i="4"/>
  <c r="AR158" i="1"/>
  <c r="AR157" i="1"/>
  <c r="AR159" i="1" s="1"/>
  <c r="AR156" i="1"/>
  <c r="AR155" i="1"/>
  <c r="AR118" i="1"/>
  <c r="AR117" i="1"/>
  <c r="AR119" i="1" s="1"/>
  <c r="AR116" i="1"/>
  <c r="AR115" i="1"/>
  <c r="AR78" i="1"/>
  <c r="AR77" i="1"/>
  <c r="AR79" i="1" s="1"/>
  <c r="AR76" i="1"/>
  <c r="AR75" i="1"/>
  <c r="AR38" i="1"/>
  <c r="AR37" i="1"/>
  <c r="AR39" i="1" s="1"/>
  <c r="AR36" i="1"/>
  <c r="AR35" i="1"/>
  <c r="AP155" i="11"/>
  <c r="AQ155" i="11"/>
  <c r="AP156" i="11"/>
  <c r="AQ156" i="11"/>
  <c r="AP157" i="11"/>
  <c r="AQ157" i="11"/>
  <c r="AP158" i="11"/>
  <c r="AQ158" i="11"/>
  <c r="AP115" i="11"/>
  <c r="AQ115" i="11"/>
  <c r="AP116" i="11"/>
  <c r="AQ116" i="11"/>
  <c r="AP117" i="11"/>
  <c r="AQ117" i="11"/>
  <c r="AP118" i="11"/>
  <c r="AQ118" i="11"/>
  <c r="AP75" i="11"/>
  <c r="AQ75" i="11"/>
  <c r="AP76" i="11"/>
  <c r="AQ76" i="11"/>
  <c r="AP77" i="11"/>
  <c r="AQ77" i="11"/>
  <c r="AP78" i="11"/>
  <c r="AQ78" i="11"/>
  <c r="AP35" i="11"/>
  <c r="AQ35" i="11"/>
  <c r="AP36" i="11"/>
  <c r="AQ36" i="11"/>
  <c r="AP37" i="11"/>
  <c r="AQ37" i="11"/>
  <c r="AP38" i="11"/>
  <c r="AP39" i="11" s="1"/>
  <c r="AQ38" i="11"/>
  <c r="AQ39" i="11"/>
  <c r="AP155" i="5"/>
  <c r="AQ155" i="5"/>
  <c r="AP156" i="5"/>
  <c r="AQ156" i="5"/>
  <c r="AP157" i="5"/>
  <c r="AQ157" i="5"/>
  <c r="AP158" i="5"/>
  <c r="AQ158" i="5"/>
  <c r="AP115" i="5"/>
  <c r="AQ115" i="5"/>
  <c r="AP116" i="5"/>
  <c r="AQ116" i="5"/>
  <c r="AP117" i="5"/>
  <c r="AQ117" i="5"/>
  <c r="AP118" i="5"/>
  <c r="AQ118" i="5"/>
  <c r="AP75" i="5"/>
  <c r="AQ75" i="5"/>
  <c r="AP76" i="5"/>
  <c r="AQ76" i="5"/>
  <c r="AP77" i="5"/>
  <c r="AQ77" i="5"/>
  <c r="AP78" i="5"/>
  <c r="AP79" i="5" s="1"/>
  <c r="AQ78" i="5"/>
  <c r="AP35" i="5"/>
  <c r="AQ35" i="5"/>
  <c r="AP36" i="5"/>
  <c r="AQ36" i="5"/>
  <c r="AP37" i="5"/>
  <c r="AQ37" i="5"/>
  <c r="AP38" i="5"/>
  <c r="AQ38" i="5"/>
  <c r="AP155" i="4"/>
  <c r="AQ155" i="4"/>
  <c r="AP156" i="4"/>
  <c r="AQ156" i="4"/>
  <c r="AP157" i="4"/>
  <c r="AQ157" i="4"/>
  <c r="AP158" i="4"/>
  <c r="AQ158" i="4"/>
  <c r="AP115" i="4"/>
  <c r="AQ115" i="4"/>
  <c r="AP116" i="4"/>
  <c r="AQ116" i="4"/>
  <c r="AP117" i="4"/>
  <c r="AQ117" i="4"/>
  <c r="AP118" i="4"/>
  <c r="AQ118" i="4"/>
  <c r="AQ119" i="4"/>
  <c r="AP75" i="4"/>
  <c r="AQ75" i="4"/>
  <c r="AP76" i="4"/>
  <c r="AQ76" i="4"/>
  <c r="AP77" i="4"/>
  <c r="AQ77" i="4"/>
  <c r="AP78" i="4"/>
  <c r="AQ78" i="4"/>
  <c r="AP35" i="4"/>
  <c r="AQ35" i="4"/>
  <c r="AP36" i="4"/>
  <c r="AQ36" i="4"/>
  <c r="AP37" i="4"/>
  <c r="AQ37" i="4"/>
  <c r="AP38" i="4"/>
  <c r="AQ38" i="4"/>
  <c r="AP155" i="1"/>
  <c r="AQ155" i="1"/>
  <c r="AP156" i="1"/>
  <c r="AQ156" i="1"/>
  <c r="AP157" i="1"/>
  <c r="AQ157" i="1"/>
  <c r="AP158" i="1"/>
  <c r="AQ158" i="1"/>
  <c r="AP115" i="1"/>
  <c r="AQ115" i="1"/>
  <c r="AP116" i="1"/>
  <c r="AQ116" i="1"/>
  <c r="AP117" i="1"/>
  <c r="AQ117" i="1"/>
  <c r="AP118" i="1"/>
  <c r="AQ118" i="1"/>
  <c r="AP75" i="1"/>
  <c r="AQ75" i="1"/>
  <c r="AP76" i="1"/>
  <c r="AQ76" i="1"/>
  <c r="AP77" i="1"/>
  <c r="AQ77" i="1"/>
  <c r="AP78" i="1"/>
  <c r="AQ78" i="1"/>
  <c r="AP35" i="1"/>
  <c r="AQ35" i="1"/>
  <c r="AP36" i="1"/>
  <c r="AQ36" i="1"/>
  <c r="AP37" i="1"/>
  <c r="AQ37" i="1"/>
  <c r="AP38" i="1"/>
  <c r="AQ38" i="1"/>
  <c r="AO158" i="11"/>
  <c r="AN158" i="11"/>
  <c r="AO157" i="11"/>
  <c r="AN157" i="11"/>
  <c r="AO156" i="11"/>
  <c r="AN156" i="11"/>
  <c r="AO155" i="11"/>
  <c r="AN155" i="11"/>
  <c r="AO118" i="11"/>
  <c r="AN118" i="11"/>
  <c r="AO117" i="11"/>
  <c r="AN117" i="11"/>
  <c r="AO116" i="11"/>
  <c r="AN116" i="11"/>
  <c r="AO115" i="11"/>
  <c r="AN115" i="11"/>
  <c r="AO78" i="11"/>
  <c r="AN78" i="11"/>
  <c r="AO77" i="11"/>
  <c r="AN77" i="11"/>
  <c r="AO76" i="11"/>
  <c r="AN76" i="11"/>
  <c r="AO75" i="11"/>
  <c r="AN75" i="11"/>
  <c r="AO38" i="11"/>
  <c r="AN38" i="11"/>
  <c r="AO37" i="11"/>
  <c r="AN37" i="11"/>
  <c r="AO36" i="11"/>
  <c r="AN36" i="11"/>
  <c r="AO35" i="11"/>
  <c r="AN35" i="11"/>
  <c r="AO158" i="5"/>
  <c r="AN158" i="5"/>
  <c r="AO157" i="5"/>
  <c r="AN157" i="5"/>
  <c r="AO156" i="5"/>
  <c r="AN156" i="5"/>
  <c r="AO155" i="5"/>
  <c r="AN155" i="5"/>
  <c r="AO118" i="5"/>
  <c r="AN118" i="5"/>
  <c r="AO117" i="5"/>
  <c r="AN117" i="5"/>
  <c r="AO116" i="5"/>
  <c r="AN116" i="5"/>
  <c r="AO115" i="5"/>
  <c r="AN115" i="5"/>
  <c r="AO78" i="5"/>
  <c r="AN78" i="5"/>
  <c r="AO77" i="5"/>
  <c r="AN77" i="5"/>
  <c r="AO76" i="5"/>
  <c r="AN76" i="5"/>
  <c r="AO75" i="5"/>
  <c r="AN75" i="5"/>
  <c r="AO38" i="5"/>
  <c r="AN38" i="5"/>
  <c r="AO37" i="5"/>
  <c r="AN37" i="5"/>
  <c r="AO36" i="5"/>
  <c r="AN36" i="5"/>
  <c r="AO35" i="5"/>
  <c r="AN35" i="5"/>
  <c r="AO158" i="4"/>
  <c r="AN158" i="4"/>
  <c r="AO157" i="4"/>
  <c r="AO159" i="4" s="1"/>
  <c r="AN157" i="4"/>
  <c r="AO156" i="4"/>
  <c r="AN156" i="4"/>
  <c r="AO155" i="4"/>
  <c r="AN155" i="4"/>
  <c r="AO118" i="4"/>
  <c r="AN118" i="4"/>
  <c r="AO117" i="4"/>
  <c r="AN117" i="4"/>
  <c r="AO116" i="4"/>
  <c r="AN116" i="4"/>
  <c r="AO115" i="4"/>
  <c r="AN115" i="4"/>
  <c r="AO78" i="4"/>
  <c r="AN78" i="4"/>
  <c r="AO77" i="4"/>
  <c r="AN77" i="4"/>
  <c r="AO76" i="4"/>
  <c r="AN76" i="4"/>
  <c r="AO75" i="4"/>
  <c r="AN75" i="4"/>
  <c r="AO38" i="4"/>
  <c r="AN38" i="4"/>
  <c r="AO37" i="4"/>
  <c r="AO39" i="4" s="1"/>
  <c r="AN37" i="4"/>
  <c r="AO36" i="4"/>
  <c r="AN36" i="4"/>
  <c r="AO35" i="4"/>
  <c r="AN35" i="4"/>
  <c r="AO158" i="1"/>
  <c r="AN158" i="1"/>
  <c r="AO157" i="1"/>
  <c r="AN157" i="1"/>
  <c r="AO156" i="1"/>
  <c r="AN156" i="1"/>
  <c r="AO155" i="1"/>
  <c r="AN155" i="1"/>
  <c r="AO118" i="1"/>
  <c r="AN118" i="1"/>
  <c r="AO117" i="1"/>
  <c r="AN117" i="1"/>
  <c r="AO116" i="1"/>
  <c r="AN116" i="1"/>
  <c r="AO115" i="1"/>
  <c r="AN115" i="1"/>
  <c r="AO78" i="1"/>
  <c r="AN78" i="1"/>
  <c r="AO77" i="1"/>
  <c r="AN77" i="1"/>
  <c r="AO76" i="1"/>
  <c r="AN76" i="1"/>
  <c r="AO75" i="1"/>
  <c r="AN75" i="1"/>
  <c r="AO38" i="1"/>
  <c r="AN38" i="1"/>
  <c r="AO37" i="1"/>
  <c r="AN37" i="1"/>
  <c r="AO36" i="1"/>
  <c r="AN36" i="1"/>
  <c r="AO35" i="1"/>
  <c r="AN35" i="1"/>
  <c r="C97" i="14"/>
  <c r="C91" i="14"/>
  <c r="C85" i="14"/>
  <c r="C79" i="14"/>
  <c r="C71" i="14"/>
  <c r="C65" i="14"/>
  <c r="C59" i="14"/>
  <c r="C53" i="14"/>
  <c r="C45" i="14"/>
  <c r="C39" i="14"/>
  <c r="C33" i="14"/>
  <c r="C27" i="14"/>
  <c r="C19" i="14"/>
  <c r="C13" i="14"/>
  <c r="C7" i="14"/>
  <c r="AQ79" i="5" l="1"/>
  <c r="AP39" i="5"/>
  <c r="AR159" i="4"/>
  <c r="AR119" i="5"/>
  <c r="AP159" i="4"/>
  <c r="AN159" i="4"/>
  <c r="AQ119" i="11"/>
  <c r="AQ39" i="1"/>
  <c r="AQ159" i="1"/>
  <c r="AP119" i="5"/>
  <c r="AO39" i="1"/>
  <c r="AP119" i="11"/>
  <c r="AP39" i="4"/>
  <c r="AN39" i="1"/>
  <c r="AN79" i="5"/>
  <c r="AQ39" i="5"/>
  <c r="AP119" i="4"/>
  <c r="AQ159" i="5"/>
  <c r="AQ159" i="4"/>
  <c r="AP39" i="1"/>
  <c r="AQ159" i="11"/>
  <c r="AQ39" i="4"/>
  <c r="AQ79" i="11"/>
  <c r="AP159" i="5"/>
  <c r="AP159" i="11"/>
  <c r="AO79" i="5"/>
  <c r="AP79" i="4"/>
  <c r="AN39" i="4"/>
  <c r="AQ119" i="1"/>
  <c r="AP79" i="11"/>
  <c r="AP119" i="1"/>
  <c r="AQ119" i="5"/>
  <c r="AQ79" i="4"/>
  <c r="AQ79" i="1"/>
  <c r="AO159" i="1"/>
  <c r="AO119" i="5"/>
  <c r="AP79" i="1"/>
  <c r="AN39" i="11"/>
  <c r="AP159" i="1"/>
  <c r="AN119" i="4"/>
  <c r="AN79" i="11"/>
  <c r="AO119" i="4"/>
  <c r="AO79" i="11"/>
  <c r="AN159" i="11"/>
  <c r="AN79" i="1"/>
  <c r="AO79" i="1"/>
  <c r="AO159" i="11"/>
  <c r="AN159" i="1"/>
  <c r="AN119" i="5"/>
  <c r="AN79" i="4"/>
  <c r="AO79" i="4"/>
  <c r="AO39" i="5"/>
  <c r="AO159" i="5"/>
  <c r="AO119" i="11"/>
  <c r="AO39" i="11"/>
  <c r="AO119" i="1"/>
  <c r="AN119" i="1"/>
  <c r="AN39" i="5"/>
  <c r="AN159" i="5"/>
  <c r="AN119" i="11"/>
  <c r="AJ77" i="11"/>
  <c r="AK77" i="11"/>
  <c r="AL77" i="11"/>
  <c r="AM77" i="11"/>
  <c r="AJ76" i="11"/>
  <c r="AK76" i="11"/>
  <c r="AL76" i="11"/>
  <c r="AM76" i="11"/>
  <c r="AM77" i="5"/>
  <c r="AM76" i="5"/>
  <c r="AM77" i="4"/>
  <c r="AM76" i="4"/>
  <c r="AM77" i="1"/>
  <c r="AM76" i="1"/>
  <c r="J35" i="11" l="1"/>
  <c r="J35" i="5"/>
  <c r="J35" i="4"/>
  <c r="J35" i="1"/>
  <c r="Y116" i="11" l="1"/>
  <c r="AB116" i="4" l="1"/>
  <c r="AB116" i="1"/>
  <c r="AB76" i="1"/>
  <c r="AA36" i="5"/>
  <c r="AA36" i="1"/>
  <c r="X36" i="5"/>
  <c r="X36" i="1"/>
  <c r="S116" i="4"/>
  <c r="S76" i="1"/>
  <c r="S116" i="1"/>
  <c r="R76" i="5"/>
  <c r="P36" i="11"/>
  <c r="P36" i="5"/>
  <c r="P36" i="4"/>
  <c r="P36" i="1"/>
  <c r="AB75" i="1"/>
  <c r="AC75" i="1"/>
  <c r="AC76" i="1"/>
  <c r="AB77" i="1"/>
  <c r="AC77" i="1"/>
  <c r="AB78" i="1"/>
  <c r="AC78" i="1"/>
  <c r="AB115" i="1"/>
  <c r="AC115" i="1"/>
  <c r="AC116" i="1"/>
  <c r="AB117" i="1"/>
  <c r="AC117" i="1"/>
  <c r="AB118" i="1"/>
  <c r="AC118" i="1"/>
  <c r="A35" i="1"/>
  <c r="B35" i="1"/>
  <c r="B36" i="1"/>
  <c r="B37" i="1"/>
  <c r="B38" i="1"/>
  <c r="B75" i="1"/>
  <c r="B76" i="1"/>
  <c r="B77" i="1"/>
  <c r="B78" i="1"/>
  <c r="U116" i="1"/>
  <c r="AE38" i="1"/>
  <c r="AD38" i="1"/>
  <c r="AC38" i="1"/>
  <c r="AB38" i="1"/>
  <c r="AA38" i="1"/>
  <c r="Z38" i="1"/>
  <c r="AE37" i="1"/>
  <c r="AB37" i="1"/>
  <c r="AA37" i="1"/>
  <c r="Z37" i="1"/>
  <c r="AE36" i="1"/>
  <c r="AB36" i="1"/>
  <c r="Z36" i="1"/>
  <c r="Y36" i="1"/>
  <c r="Y37" i="1"/>
  <c r="Y38" i="1"/>
  <c r="X37" i="1"/>
  <c r="X38" i="1"/>
  <c r="AF36" i="1"/>
  <c r="AH36" i="1"/>
  <c r="AI36" i="1"/>
  <c r="AJ36" i="1"/>
  <c r="AK36" i="1"/>
  <c r="AL36" i="1"/>
  <c r="AM36" i="1"/>
  <c r="AF37" i="1"/>
  <c r="AH37" i="1"/>
  <c r="AI37" i="1"/>
  <c r="AJ37" i="1"/>
  <c r="AK37" i="1"/>
  <c r="AL37" i="1"/>
  <c r="AM37" i="1"/>
  <c r="AF38" i="1"/>
  <c r="AH38" i="1"/>
  <c r="AI38" i="1"/>
  <c r="AJ38" i="1"/>
  <c r="AK38" i="1"/>
  <c r="AL38" i="1"/>
  <c r="AM38" i="1"/>
  <c r="A155" i="11"/>
  <c r="A115" i="11"/>
  <c r="A75" i="11"/>
  <c r="A35" i="11"/>
  <c r="A155" i="5"/>
  <c r="A115" i="5"/>
  <c r="A75" i="5"/>
  <c r="A35" i="5"/>
  <c r="A155" i="4"/>
  <c r="A115" i="4"/>
  <c r="A75" i="4"/>
  <c r="A35" i="4"/>
  <c r="A155" i="1"/>
  <c r="A115" i="1"/>
  <c r="A75" i="1"/>
  <c r="AM115" i="5"/>
  <c r="AI115" i="5"/>
  <c r="AE115" i="5"/>
  <c r="O115" i="5"/>
  <c r="G115" i="5"/>
  <c r="C115" i="5"/>
  <c r="AM156" i="11"/>
  <c r="AL156" i="11"/>
  <c r="AK156" i="11"/>
  <c r="AJ156" i="11"/>
  <c r="AI156" i="11"/>
  <c r="AF156" i="11"/>
  <c r="AE156" i="11"/>
  <c r="Z156" i="11"/>
  <c r="Y156" i="11"/>
  <c r="X156" i="11"/>
  <c r="V156" i="11"/>
  <c r="U156" i="11"/>
  <c r="Q156" i="11"/>
  <c r="P156" i="11"/>
  <c r="O156" i="11"/>
  <c r="N156" i="11"/>
  <c r="G156" i="11"/>
  <c r="F156" i="11"/>
  <c r="E156" i="11"/>
  <c r="D156" i="11"/>
  <c r="C156" i="11"/>
  <c r="B156" i="11"/>
  <c r="AM116" i="11"/>
  <c r="AL116" i="11"/>
  <c r="AK116" i="11"/>
  <c r="AJ116" i="11"/>
  <c r="AI116" i="11"/>
  <c r="AF116" i="11"/>
  <c r="AE116" i="11"/>
  <c r="Z116" i="11"/>
  <c r="X116" i="11"/>
  <c r="V116" i="11"/>
  <c r="U116" i="11"/>
  <c r="Q116" i="11"/>
  <c r="P116" i="11"/>
  <c r="O116" i="11"/>
  <c r="N116" i="11"/>
  <c r="G116" i="11"/>
  <c r="F116" i="11"/>
  <c r="E116" i="11"/>
  <c r="D116" i="11"/>
  <c r="C116" i="11"/>
  <c r="B116" i="11"/>
  <c r="AI76" i="11"/>
  <c r="AF76" i="11"/>
  <c r="AE76" i="11"/>
  <c r="Z76" i="11"/>
  <c r="Y76" i="11"/>
  <c r="X76" i="11"/>
  <c r="V76" i="11"/>
  <c r="U76" i="11"/>
  <c r="Q76" i="11"/>
  <c r="P76" i="11"/>
  <c r="O76" i="11"/>
  <c r="N76" i="11"/>
  <c r="G76" i="11"/>
  <c r="F76" i="11"/>
  <c r="E76" i="11"/>
  <c r="D76" i="11"/>
  <c r="C76" i="11"/>
  <c r="B76" i="11"/>
  <c r="AM36" i="11"/>
  <c r="AL36" i="11"/>
  <c r="AK36" i="11"/>
  <c r="AJ36" i="11"/>
  <c r="AI36" i="11"/>
  <c r="AF36" i="11"/>
  <c r="AE36" i="11"/>
  <c r="Z36" i="11"/>
  <c r="Y36" i="11"/>
  <c r="X36" i="11"/>
  <c r="V36" i="11"/>
  <c r="U36" i="11"/>
  <c r="Q36" i="11"/>
  <c r="O36" i="11"/>
  <c r="N36" i="11"/>
  <c r="G36" i="11"/>
  <c r="F36" i="11"/>
  <c r="E36" i="11"/>
  <c r="D36" i="11"/>
  <c r="C36" i="11"/>
  <c r="B36" i="11"/>
  <c r="AM156" i="5"/>
  <c r="AL156" i="5"/>
  <c r="AK156" i="5"/>
  <c r="AJ156" i="5"/>
  <c r="AI156" i="5"/>
  <c r="AF156" i="5"/>
  <c r="AE156" i="5"/>
  <c r="Z156" i="5"/>
  <c r="Y156" i="5"/>
  <c r="X156" i="5"/>
  <c r="V156" i="5"/>
  <c r="U156" i="5"/>
  <c r="Q156" i="5"/>
  <c r="P156" i="5"/>
  <c r="O156" i="5"/>
  <c r="N156" i="5"/>
  <c r="G156" i="5"/>
  <c r="F156" i="5"/>
  <c r="E156" i="5"/>
  <c r="D156" i="5"/>
  <c r="C156" i="5"/>
  <c r="B156" i="5"/>
  <c r="AM116" i="5"/>
  <c r="AL116" i="5"/>
  <c r="AK116" i="5"/>
  <c r="AJ116" i="5"/>
  <c r="AI116" i="5"/>
  <c r="AF116" i="5"/>
  <c r="AE116" i="5"/>
  <c r="Z116" i="5"/>
  <c r="Y116" i="5"/>
  <c r="X116" i="5"/>
  <c r="V116" i="5"/>
  <c r="U116" i="5"/>
  <c r="Q116" i="5"/>
  <c r="P116" i="5"/>
  <c r="O116" i="5"/>
  <c r="N116" i="5"/>
  <c r="G116" i="5"/>
  <c r="F116" i="5"/>
  <c r="E116" i="5"/>
  <c r="D116" i="5"/>
  <c r="C116" i="5"/>
  <c r="B116" i="5"/>
  <c r="AL76" i="5"/>
  <c r="AK76" i="5"/>
  <c r="AJ76" i="5"/>
  <c r="AI76" i="5"/>
  <c r="AF76" i="5"/>
  <c r="AE76" i="5"/>
  <c r="Z76" i="5"/>
  <c r="Y76" i="5"/>
  <c r="X76" i="5"/>
  <c r="V76" i="5"/>
  <c r="U76" i="5"/>
  <c r="Q76" i="5"/>
  <c r="P76" i="5"/>
  <c r="O76" i="5"/>
  <c r="N76" i="5"/>
  <c r="G76" i="5"/>
  <c r="F76" i="5"/>
  <c r="E76" i="5"/>
  <c r="D76" i="5"/>
  <c r="C76" i="5"/>
  <c r="B76" i="5"/>
  <c r="AM36" i="5"/>
  <c r="AL36" i="5"/>
  <c r="AK36" i="5"/>
  <c r="AJ36" i="5"/>
  <c r="AI36" i="5"/>
  <c r="AF36" i="5"/>
  <c r="AE36" i="5"/>
  <c r="Z36" i="5"/>
  <c r="Y36" i="5"/>
  <c r="V36" i="5"/>
  <c r="U36" i="5"/>
  <c r="Q36" i="5"/>
  <c r="O36" i="5"/>
  <c r="N36" i="5"/>
  <c r="G36" i="5"/>
  <c r="F36" i="5"/>
  <c r="E36" i="5"/>
  <c r="D36" i="5"/>
  <c r="C36" i="5"/>
  <c r="B36" i="5"/>
  <c r="AM156" i="4"/>
  <c r="AL156" i="4"/>
  <c r="AK156" i="4"/>
  <c r="AJ156" i="4"/>
  <c r="AI156" i="4"/>
  <c r="AF156" i="4"/>
  <c r="AE156" i="4"/>
  <c r="Z156" i="4"/>
  <c r="Y156" i="4"/>
  <c r="X156" i="4"/>
  <c r="V156" i="4"/>
  <c r="U156" i="4"/>
  <c r="Q156" i="4"/>
  <c r="P156" i="4"/>
  <c r="O156" i="4"/>
  <c r="N156" i="4"/>
  <c r="G156" i="4"/>
  <c r="F156" i="4"/>
  <c r="E156" i="4"/>
  <c r="D156" i="4"/>
  <c r="C156" i="4"/>
  <c r="B156" i="4"/>
  <c r="AM116" i="4"/>
  <c r="AL116" i="4"/>
  <c r="AK116" i="4"/>
  <c r="AJ116" i="4"/>
  <c r="AI116" i="4"/>
  <c r="AF116" i="4"/>
  <c r="AE116" i="4"/>
  <c r="Z116" i="4"/>
  <c r="Y116" i="4"/>
  <c r="X116" i="4"/>
  <c r="V116" i="4"/>
  <c r="U116" i="4"/>
  <c r="Q116" i="4"/>
  <c r="P116" i="4"/>
  <c r="O116" i="4"/>
  <c r="N116" i="4"/>
  <c r="G116" i="4"/>
  <c r="F116" i="4"/>
  <c r="E116" i="4"/>
  <c r="D116" i="4"/>
  <c r="C116" i="4"/>
  <c r="B116" i="4"/>
  <c r="AL76" i="4"/>
  <c r="AK76" i="4"/>
  <c r="AJ76" i="4"/>
  <c r="AI76" i="4"/>
  <c r="AF76" i="4"/>
  <c r="AE76" i="4"/>
  <c r="Z76" i="4"/>
  <c r="Y76" i="4"/>
  <c r="X76" i="4"/>
  <c r="V76" i="4"/>
  <c r="U76" i="4"/>
  <c r="Q76" i="4"/>
  <c r="P76" i="4"/>
  <c r="O76" i="4"/>
  <c r="N76" i="4"/>
  <c r="G76" i="4"/>
  <c r="F76" i="4"/>
  <c r="E76" i="4"/>
  <c r="D76" i="4"/>
  <c r="C76" i="4"/>
  <c r="B76" i="4"/>
  <c r="AM36" i="4"/>
  <c r="AL36" i="4"/>
  <c r="AK36" i="4"/>
  <c r="AJ36" i="4"/>
  <c r="AI36" i="4"/>
  <c r="AF36" i="4"/>
  <c r="AE36" i="4"/>
  <c r="Z36" i="4"/>
  <c r="Y36" i="4"/>
  <c r="X36" i="4"/>
  <c r="V36" i="4"/>
  <c r="U36" i="4"/>
  <c r="Q36" i="4"/>
  <c r="O36" i="4"/>
  <c r="N36" i="4"/>
  <c r="G36" i="4"/>
  <c r="F36" i="4"/>
  <c r="E36" i="4"/>
  <c r="D36" i="4"/>
  <c r="C36" i="4"/>
  <c r="B36" i="4"/>
  <c r="AM156" i="1"/>
  <c r="AL156" i="1"/>
  <c r="AK156" i="1"/>
  <c r="AJ156" i="1"/>
  <c r="AI156" i="1"/>
  <c r="AF156" i="1"/>
  <c r="AE156" i="1"/>
  <c r="Z156" i="1"/>
  <c r="Y156" i="1"/>
  <c r="X156" i="1"/>
  <c r="V156" i="1"/>
  <c r="U156" i="1"/>
  <c r="Q156" i="1"/>
  <c r="P156" i="1"/>
  <c r="O156" i="1"/>
  <c r="N156" i="1"/>
  <c r="G156" i="1"/>
  <c r="F156" i="1"/>
  <c r="E156" i="1"/>
  <c r="D156" i="1"/>
  <c r="C156" i="1"/>
  <c r="B156" i="1"/>
  <c r="AM116" i="1"/>
  <c r="AL116" i="1"/>
  <c r="AK116" i="1"/>
  <c r="AJ116" i="1"/>
  <c r="AI116" i="1"/>
  <c r="AF116" i="1"/>
  <c r="AE116" i="1"/>
  <c r="Z116" i="1"/>
  <c r="Y116" i="1"/>
  <c r="X116" i="1"/>
  <c r="V116" i="1"/>
  <c r="Q116" i="1"/>
  <c r="P116" i="1"/>
  <c r="O116" i="1"/>
  <c r="N116" i="1"/>
  <c r="G116" i="1"/>
  <c r="F116" i="1"/>
  <c r="E116" i="1"/>
  <c r="D116" i="1"/>
  <c r="C116" i="1"/>
  <c r="B116" i="1"/>
  <c r="AL76" i="1"/>
  <c r="AK76" i="1"/>
  <c r="AJ76" i="1"/>
  <c r="AI76" i="1"/>
  <c r="AF76" i="1"/>
  <c r="AE76" i="1"/>
  <c r="Z76" i="1"/>
  <c r="Y76" i="1"/>
  <c r="X76" i="1"/>
  <c r="V76" i="1"/>
  <c r="U76" i="1"/>
  <c r="Q76" i="1"/>
  <c r="P76" i="1"/>
  <c r="O76" i="1"/>
  <c r="N76" i="1"/>
  <c r="G76" i="1"/>
  <c r="F76" i="1"/>
  <c r="E76" i="1"/>
  <c r="D76" i="1"/>
  <c r="C76" i="1"/>
  <c r="V36" i="1"/>
  <c r="U36" i="1"/>
  <c r="Q36" i="1"/>
  <c r="O36" i="1"/>
  <c r="N36" i="1"/>
  <c r="G36" i="1"/>
  <c r="F36" i="1"/>
  <c r="E36" i="1"/>
  <c r="D36" i="1"/>
  <c r="C36" i="1"/>
  <c r="L121" i="11"/>
  <c r="L81" i="11"/>
  <c r="L41" i="11"/>
  <c r="L1" i="11"/>
  <c r="K121" i="5"/>
  <c r="K81" i="5"/>
  <c r="K41" i="5"/>
  <c r="K1" i="5"/>
  <c r="K121" i="1"/>
  <c r="K81" i="1"/>
  <c r="K41" i="1"/>
  <c r="K1" i="1"/>
  <c r="AI78" i="1"/>
  <c r="AJ78" i="1"/>
  <c r="AK78" i="1"/>
  <c r="AL78" i="1"/>
  <c r="AM78" i="1"/>
  <c r="B35" i="11"/>
  <c r="C35" i="11"/>
  <c r="D35" i="11"/>
  <c r="E35" i="11"/>
  <c r="F35" i="11"/>
  <c r="G35" i="11"/>
  <c r="N35" i="11"/>
  <c r="O35" i="11"/>
  <c r="P35" i="11"/>
  <c r="Q35" i="11"/>
  <c r="U35" i="11"/>
  <c r="V35" i="11"/>
  <c r="X35" i="11"/>
  <c r="Y35" i="11"/>
  <c r="Z35" i="11"/>
  <c r="AE35" i="11"/>
  <c r="AF35" i="11"/>
  <c r="AI35" i="11"/>
  <c r="AJ35" i="11"/>
  <c r="AK35" i="11"/>
  <c r="AL35" i="11"/>
  <c r="AM35" i="11"/>
  <c r="B37" i="11"/>
  <c r="C37" i="11"/>
  <c r="D37" i="11"/>
  <c r="E37" i="11"/>
  <c r="F37" i="11"/>
  <c r="G37" i="11"/>
  <c r="N37" i="11"/>
  <c r="O37" i="11"/>
  <c r="P37" i="11"/>
  <c r="Q37" i="11"/>
  <c r="U37" i="11"/>
  <c r="V37" i="11"/>
  <c r="X37" i="11"/>
  <c r="Y37" i="11"/>
  <c r="Z37" i="11"/>
  <c r="AE37" i="11"/>
  <c r="AF37" i="11"/>
  <c r="AI37" i="11"/>
  <c r="AJ37" i="11"/>
  <c r="AK37" i="11"/>
  <c r="AL37" i="11"/>
  <c r="AM37" i="11"/>
  <c r="B38" i="11"/>
  <c r="C38" i="11"/>
  <c r="D38" i="11"/>
  <c r="E38" i="11"/>
  <c r="F38" i="11"/>
  <c r="G38" i="11"/>
  <c r="N38" i="11"/>
  <c r="O38" i="11"/>
  <c r="P38" i="11"/>
  <c r="Q38" i="11"/>
  <c r="U38" i="11"/>
  <c r="V38" i="11"/>
  <c r="X38" i="11"/>
  <c r="Y38" i="11"/>
  <c r="Z38" i="11"/>
  <c r="AC38" i="11"/>
  <c r="AD38" i="11"/>
  <c r="AE38" i="11"/>
  <c r="AF38" i="11"/>
  <c r="AI38" i="11"/>
  <c r="AJ38" i="11"/>
  <c r="AK38" i="11"/>
  <c r="AL38" i="11"/>
  <c r="AM38" i="11"/>
  <c r="B75" i="11"/>
  <c r="C75" i="11"/>
  <c r="D75" i="11"/>
  <c r="E75" i="11"/>
  <c r="F75" i="11"/>
  <c r="G75" i="11"/>
  <c r="N75" i="11"/>
  <c r="O75" i="11"/>
  <c r="P75" i="11"/>
  <c r="Q75" i="11"/>
  <c r="U75" i="11"/>
  <c r="V75" i="11"/>
  <c r="X75" i="11"/>
  <c r="Y75" i="11"/>
  <c r="Z75" i="11"/>
  <c r="AE75" i="11"/>
  <c r="AF75" i="11"/>
  <c r="AI75" i="11"/>
  <c r="AJ75" i="11"/>
  <c r="AK75" i="11"/>
  <c r="AL75" i="11"/>
  <c r="AM75" i="11"/>
  <c r="B77" i="11"/>
  <c r="C77" i="11"/>
  <c r="D77" i="11"/>
  <c r="E77" i="11"/>
  <c r="F77" i="11"/>
  <c r="G77" i="11"/>
  <c r="N77" i="11"/>
  <c r="O77" i="11"/>
  <c r="P77" i="11"/>
  <c r="Q77" i="11"/>
  <c r="U77" i="11"/>
  <c r="V77" i="11"/>
  <c r="X77" i="11"/>
  <c r="Y77" i="11"/>
  <c r="Z77" i="11"/>
  <c r="AE77" i="11"/>
  <c r="AF77" i="11"/>
  <c r="AI77" i="11"/>
  <c r="B78" i="11"/>
  <c r="C78" i="11"/>
  <c r="D78" i="11"/>
  <c r="E78" i="11"/>
  <c r="F78" i="11"/>
  <c r="G78" i="11"/>
  <c r="N78" i="11"/>
  <c r="O78" i="11"/>
  <c r="P78" i="11"/>
  <c r="Q78" i="11"/>
  <c r="U78" i="11"/>
  <c r="V78" i="11"/>
  <c r="X78" i="11"/>
  <c r="Y78" i="11"/>
  <c r="Z78" i="11"/>
  <c r="AC78" i="11"/>
  <c r="AD78" i="11"/>
  <c r="AE78" i="11"/>
  <c r="AF78" i="11"/>
  <c r="AI78" i="11"/>
  <c r="AJ78" i="11"/>
  <c r="AK78" i="11"/>
  <c r="AL78" i="11"/>
  <c r="AM78" i="11"/>
  <c r="B115" i="11"/>
  <c r="C115" i="11"/>
  <c r="D115" i="11"/>
  <c r="E115" i="11"/>
  <c r="F115" i="11"/>
  <c r="G115" i="11"/>
  <c r="N115" i="11"/>
  <c r="O115" i="11"/>
  <c r="P115" i="11"/>
  <c r="Q115" i="11"/>
  <c r="U115" i="11"/>
  <c r="V115" i="11"/>
  <c r="X115" i="11"/>
  <c r="Y115" i="11"/>
  <c r="Z115" i="11"/>
  <c r="AE115" i="11"/>
  <c r="AF115" i="11"/>
  <c r="AI115" i="11"/>
  <c r="AJ115" i="11"/>
  <c r="AK115" i="11"/>
  <c r="AL115" i="11"/>
  <c r="AM115" i="11"/>
  <c r="B117" i="11"/>
  <c r="C117" i="11"/>
  <c r="D117" i="11"/>
  <c r="E117" i="11"/>
  <c r="F117" i="11"/>
  <c r="G117" i="11"/>
  <c r="N117" i="11"/>
  <c r="O117" i="11"/>
  <c r="P117" i="11"/>
  <c r="Q117" i="11"/>
  <c r="U117" i="11"/>
  <c r="V117" i="11"/>
  <c r="X117" i="11"/>
  <c r="Y117" i="11"/>
  <c r="Z117" i="11"/>
  <c r="AE117" i="11"/>
  <c r="AF117" i="11"/>
  <c r="AI117" i="11"/>
  <c r="AJ117" i="11"/>
  <c r="AK117" i="11"/>
  <c r="AL117" i="11"/>
  <c r="AM117" i="11"/>
  <c r="B118" i="11"/>
  <c r="C118" i="11"/>
  <c r="D118" i="11"/>
  <c r="E118" i="11"/>
  <c r="F118" i="11"/>
  <c r="G118" i="11"/>
  <c r="N118" i="11"/>
  <c r="O118" i="11"/>
  <c r="P118" i="11"/>
  <c r="Q118" i="11"/>
  <c r="U118" i="11"/>
  <c r="V118" i="11"/>
  <c r="X118" i="11"/>
  <c r="Y118" i="11"/>
  <c r="Z118" i="11"/>
  <c r="AC118" i="11"/>
  <c r="AD118" i="11"/>
  <c r="AE118" i="11"/>
  <c r="AF118" i="11"/>
  <c r="AI118" i="11"/>
  <c r="AJ118" i="11"/>
  <c r="AK118" i="11"/>
  <c r="AL118" i="11"/>
  <c r="AM118" i="11"/>
  <c r="B155" i="11"/>
  <c r="C155" i="11"/>
  <c r="D155" i="11"/>
  <c r="E155" i="11"/>
  <c r="F155" i="11"/>
  <c r="G155" i="11"/>
  <c r="N155" i="11"/>
  <c r="O155" i="11"/>
  <c r="P155" i="11"/>
  <c r="Q155" i="11"/>
  <c r="U155" i="11"/>
  <c r="V155" i="11"/>
  <c r="X155" i="11"/>
  <c r="Y155" i="11"/>
  <c r="Z155" i="11"/>
  <c r="AE155" i="11"/>
  <c r="AF155" i="11"/>
  <c r="AI155" i="11"/>
  <c r="AJ155" i="11"/>
  <c r="AK155" i="11"/>
  <c r="AL155" i="11"/>
  <c r="AM155" i="11"/>
  <c r="B157" i="11"/>
  <c r="C157" i="11"/>
  <c r="D157" i="11"/>
  <c r="E157" i="11"/>
  <c r="F157" i="11"/>
  <c r="G157" i="11"/>
  <c r="N157" i="11"/>
  <c r="O157" i="11"/>
  <c r="P157" i="11"/>
  <c r="Q157" i="11"/>
  <c r="U157" i="11"/>
  <c r="V157" i="11"/>
  <c r="X157" i="11"/>
  <c r="Y157" i="11"/>
  <c r="Z157" i="11"/>
  <c r="AE157" i="11"/>
  <c r="AF157" i="11"/>
  <c r="AI157" i="11"/>
  <c r="AJ157" i="11"/>
  <c r="AK157" i="11"/>
  <c r="AL157" i="11"/>
  <c r="AM157" i="11"/>
  <c r="B158" i="11"/>
  <c r="C158" i="11"/>
  <c r="D158" i="11"/>
  <c r="E158" i="11"/>
  <c r="F158" i="11"/>
  <c r="G158" i="11"/>
  <c r="N158" i="11"/>
  <c r="O158" i="11"/>
  <c r="P158" i="11"/>
  <c r="Q158" i="11"/>
  <c r="U158" i="11"/>
  <c r="V158" i="11"/>
  <c r="X158" i="11"/>
  <c r="Y158" i="11"/>
  <c r="Z158" i="11"/>
  <c r="AC158" i="11"/>
  <c r="AD158" i="11"/>
  <c r="AE158" i="11"/>
  <c r="AF158" i="11"/>
  <c r="AI158" i="11"/>
  <c r="AJ158" i="11"/>
  <c r="AK158" i="11"/>
  <c r="AL158" i="11"/>
  <c r="AM158" i="11"/>
  <c r="B35" i="5"/>
  <c r="C35" i="5"/>
  <c r="D35" i="5"/>
  <c r="E35" i="5"/>
  <c r="F35" i="5"/>
  <c r="G35" i="5"/>
  <c r="N35" i="5"/>
  <c r="O35" i="5"/>
  <c r="P35" i="5"/>
  <c r="Q35" i="5"/>
  <c r="U35" i="5"/>
  <c r="V35" i="5"/>
  <c r="X35" i="5"/>
  <c r="Y35" i="5"/>
  <c r="Z35" i="5"/>
  <c r="AE35" i="5"/>
  <c r="AF35" i="5"/>
  <c r="AI35" i="5"/>
  <c r="AJ35" i="5"/>
  <c r="AK35" i="5"/>
  <c r="AL35" i="5"/>
  <c r="AM35" i="5"/>
  <c r="B37" i="5"/>
  <c r="C37" i="5"/>
  <c r="D37" i="5"/>
  <c r="E37" i="5"/>
  <c r="F37" i="5"/>
  <c r="G37" i="5"/>
  <c r="N37" i="5"/>
  <c r="O37" i="5"/>
  <c r="P37" i="5"/>
  <c r="Q37" i="5"/>
  <c r="U37" i="5"/>
  <c r="V37" i="5"/>
  <c r="X37" i="5"/>
  <c r="Y37" i="5"/>
  <c r="Z37" i="5"/>
  <c r="AE37" i="5"/>
  <c r="AF37" i="5"/>
  <c r="AI37" i="5"/>
  <c r="AJ37" i="5"/>
  <c r="AK37" i="5"/>
  <c r="AL37" i="5"/>
  <c r="AM37" i="5"/>
  <c r="B38" i="5"/>
  <c r="C38" i="5"/>
  <c r="D38" i="5"/>
  <c r="E38" i="5"/>
  <c r="F38" i="5"/>
  <c r="G38" i="5"/>
  <c r="N38" i="5"/>
  <c r="O38" i="5"/>
  <c r="P38" i="5"/>
  <c r="Q38" i="5"/>
  <c r="U38" i="5"/>
  <c r="V38" i="5"/>
  <c r="X38" i="5"/>
  <c r="Y38" i="5"/>
  <c r="Z38" i="5"/>
  <c r="AC38" i="5"/>
  <c r="AD38" i="5"/>
  <c r="AE38" i="5"/>
  <c r="AF38" i="5"/>
  <c r="AI38" i="5"/>
  <c r="AJ38" i="5"/>
  <c r="AK38" i="5"/>
  <c r="AL38" i="5"/>
  <c r="AM38" i="5"/>
  <c r="B75" i="5"/>
  <c r="C75" i="5"/>
  <c r="D75" i="5"/>
  <c r="E75" i="5"/>
  <c r="F75" i="5"/>
  <c r="G75" i="5"/>
  <c r="N75" i="5"/>
  <c r="O75" i="5"/>
  <c r="P75" i="5"/>
  <c r="Q75" i="5"/>
  <c r="U75" i="5"/>
  <c r="V75" i="5"/>
  <c r="X75" i="5"/>
  <c r="Y75" i="5"/>
  <c r="Z75" i="5"/>
  <c r="AE75" i="5"/>
  <c r="AF75" i="5"/>
  <c r="AI75" i="5"/>
  <c r="AJ75" i="5"/>
  <c r="AK75" i="5"/>
  <c r="AL75" i="5"/>
  <c r="AM75" i="5"/>
  <c r="B77" i="5"/>
  <c r="C77" i="5"/>
  <c r="D77" i="5"/>
  <c r="E77" i="5"/>
  <c r="F77" i="5"/>
  <c r="G77" i="5"/>
  <c r="N77" i="5"/>
  <c r="O77" i="5"/>
  <c r="P77" i="5"/>
  <c r="Q77" i="5"/>
  <c r="U77" i="5"/>
  <c r="V77" i="5"/>
  <c r="X77" i="5"/>
  <c r="Y77" i="5"/>
  <c r="Z77" i="5"/>
  <c r="AE77" i="5"/>
  <c r="AF77" i="5"/>
  <c r="AI77" i="5"/>
  <c r="AJ77" i="5"/>
  <c r="AK77" i="5"/>
  <c r="AL77" i="5"/>
  <c r="B78" i="5"/>
  <c r="C78" i="5"/>
  <c r="D78" i="5"/>
  <c r="E78" i="5"/>
  <c r="F78" i="5"/>
  <c r="G78" i="5"/>
  <c r="N78" i="5"/>
  <c r="O78" i="5"/>
  <c r="P78" i="5"/>
  <c r="Q78" i="5"/>
  <c r="U78" i="5"/>
  <c r="V78" i="5"/>
  <c r="X78" i="5"/>
  <c r="Y78" i="5"/>
  <c r="Z78" i="5"/>
  <c r="AC78" i="5"/>
  <c r="AD78" i="5"/>
  <c r="AE78" i="5"/>
  <c r="AF78" i="5"/>
  <c r="AI78" i="5"/>
  <c r="AJ78" i="5"/>
  <c r="AK78" i="5"/>
  <c r="AL78" i="5"/>
  <c r="AM78" i="5"/>
  <c r="B115" i="5"/>
  <c r="D115" i="5"/>
  <c r="E115" i="5"/>
  <c r="F115" i="5"/>
  <c r="N115" i="5"/>
  <c r="P115" i="5"/>
  <c r="Q115" i="5"/>
  <c r="U115" i="5"/>
  <c r="V115" i="5"/>
  <c r="X115" i="5"/>
  <c r="Y115" i="5"/>
  <c r="Z115" i="5"/>
  <c r="AF115" i="5"/>
  <c r="AJ115" i="5"/>
  <c r="AK115" i="5"/>
  <c r="AL115" i="5"/>
  <c r="B117" i="5"/>
  <c r="C117" i="5"/>
  <c r="D117" i="5"/>
  <c r="E117" i="5"/>
  <c r="F117" i="5"/>
  <c r="G117" i="5"/>
  <c r="N117" i="5"/>
  <c r="O117" i="5"/>
  <c r="P117" i="5"/>
  <c r="Q117" i="5"/>
  <c r="U117" i="5"/>
  <c r="V117" i="5"/>
  <c r="X117" i="5"/>
  <c r="Y117" i="5"/>
  <c r="Z117" i="5"/>
  <c r="AE117" i="5"/>
  <c r="AF117" i="5"/>
  <c r="AI117" i="5"/>
  <c r="AJ117" i="5"/>
  <c r="AK117" i="5"/>
  <c r="AL117" i="5"/>
  <c r="AM117" i="5"/>
  <c r="B118" i="5"/>
  <c r="C118" i="5"/>
  <c r="D118" i="5"/>
  <c r="E118" i="5"/>
  <c r="F118" i="5"/>
  <c r="G118" i="5"/>
  <c r="N118" i="5"/>
  <c r="O118" i="5"/>
  <c r="P118" i="5"/>
  <c r="Q118" i="5"/>
  <c r="U118" i="5"/>
  <c r="V118" i="5"/>
  <c r="X118" i="5"/>
  <c r="Y118" i="5"/>
  <c r="Z118" i="5"/>
  <c r="AC118" i="5"/>
  <c r="AD118" i="5"/>
  <c r="AE118" i="5"/>
  <c r="AF118" i="5"/>
  <c r="AI118" i="5"/>
  <c r="AJ118" i="5"/>
  <c r="AK118" i="5"/>
  <c r="AL118" i="5"/>
  <c r="AM118" i="5"/>
  <c r="B155" i="5"/>
  <c r="C155" i="5"/>
  <c r="D155" i="5"/>
  <c r="E155" i="5"/>
  <c r="F155" i="5"/>
  <c r="G155" i="5"/>
  <c r="N155" i="5"/>
  <c r="O155" i="5"/>
  <c r="P155" i="5"/>
  <c r="Q155" i="5"/>
  <c r="U155" i="5"/>
  <c r="V155" i="5"/>
  <c r="X155" i="5"/>
  <c r="Y155" i="5"/>
  <c r="Z155" i="5"/>
  <c r="AE155" i="5"/>
  <c r="AF155" i="5"/>
  <c r="AI155" i="5"/>
  <c r="AJ155" i="5"/>
  <c r="AK155" i="5"/>
  <c r="AL155" i="5"/>
  <c r="AM155" i="5"/>
  <c r="B157" i="5"/>
  <c r="C157" i="5"/>
  <c r="D157" i="5"/>
  <c r="E157" i="5"/>
  <c r="F157" i="5"/>
  <c r="G157" i="5"/>
  <c r="N157" i="5"/>
  <c r="O157" i="5"/>
  <c r="P157" i="5"/>
  <c r="Q157" i="5"/>
  <c r="U157" i="5"/>
  <c r="V157" i="5"/>
  <c r="X157" i="5"/>
  <c r="Y157" i="5"/>
  <c r="Z157" i="5"/>
  <c r="AE157" i="5"/>
  <c r="AF157" i="5"/>
  <c r="AI157" i="5"/>
  <c r="AJ157" i="5"/>
  <c r="AK157" i="5"/>
  <c r="AL157" i="5"/>
  <c r="AM157" i="5"/>
  <c r="B158" i="5"/>
  <c r="C158" i="5"/>
  <c r="D158" i="5"/>
  <c r="E158" i="5"/>
  <c r="F158" i="5"/>
  <c r="G158" i="5"/>
  <c r="N158" i="5"/>
  <c r="O158" i="5"/>
  <c r="P158" i="5"/>
  <c r="Q158" i="5"/>
  <c r="U158" i="5"/>
  <c r="V158" i="5"/>
  <c r="X158" i="5"/>
  <c r="Y158" i="5"/>
  <c r="Z158" i="5"/>
  <c r="AC158" i="5"/>
  <c r="AD158" i="5"/>
  <c r="AE158" i="5"/>
  <c r="AF158" i="5"/>
  <c r="AI158" i="5"/>
  <c r="AJ158" i="5"/>
  <c r="AK158" i="5"/>
  <c r="AL158" i="5"/>
  <c r="AM158" i="5"/>
  <c r="K1" i="4"/>
  <c r="B35" i="4"/>
  <c r="C35" i="4"/>
  <c r="D35" i="4"/>
  <c r="E35" i="4"/>
  <c r="F35" i="4"/>
  <c r="G35" i="4"/>
  <c r="N35" i="4"/>
  <c r="O35" i="4"/>
  <c r="P35" i="4"/>
  <c r="Q35" i="4"/>
  <c r="U35" i="4"/>
  <c r="V35" i="4"/>
  <c r="X35" i="4"/>
  <c r="Y35" i="4"/>
  <c r="Z35" i="4"/>
  <c r="AE35" i="4"/>
  <c r="AF35" i="4"/>
  <c r="AI35" i="4"/>
  <c r="AJ35" i="4"/>
  <c r="AK35" i="4"/>
  <c r="AL35" i="4"/>
  <c r="AM35" i="4"/>
  <c r="B37" i="4"/>
  <c r="C37" i="4"/>
  <c r="D37" i="4"/>
  <c r="E37" i="4"/>
  <c r="F37" i="4"/>
  <c r="G37" i="4"/>
  <c r="N37" i="4"/>
  <c r="O37" i="4"/>
  <c r="P37" i="4"/>
  <c r="Q37" i="4"/>
  <c r="U37" i="4"/>
  <c r="V37" i="4"/>
  <c r="X37" i="4"/>
  <c r="Y37" i="4"/>
  <c r="Z37" i="4"/>
  <c r="AE37" i="4"/>
  <c r="AF37" i="4"/>
  <c r="AI37" i="4"/>
  <c r="AJ37" i="4"/>
  <c r="AK37" i="4"/>
  <c r="AL37" i="4"/>
  <c r="AM37" i="4"/>
  <c r="B38" i="4"/>
  <c r="C38" i="4"/>
  <c r="D38" i="4"/>
  <c r="E38" i="4"/>
  <c r="F38" i="4"/>
  <c r="G38" i="4"/>
  <c r="N38" i="4"/>
  <c r="O38" i="4"/>
  <c r="P38" i="4"/>
  <c r="Q38" i="4"/>
  <c r="U38" i="4"/>
  <c r="V38" i="4"/>
  <c r="X38" i="4"/>
  <c r="Y38" i="4"/>
  <c r="Z38" i="4"/>
  <c r="AC38" i="4"/>
  <c r="AD38" i="4"/>
  <c r="AE38" i="4"/>
  <c r="AF38" i="4"/>
  <c r="AI38" i="4"/>
  <c r="AJ38" i="4"/>
  <c r="AK38" i="4"/>
  <c r="AL38" i="4"/>
  <c r="AM38" i="4"/>
  <c r="A41" i="4"/>
  <c r="K41" i="4"/>
  <c r="B75" i="4"/>
  <c r="C75" i="4"/>
  <c r="D75" i="4"/>
  <c r="E75" i="4"/>
  <c r="F75" i="4"/>
  <c r="G75" i="4"/>
  <c r="N75" i="4"/>
  <c r="O75" i="4"/>
  <c r="P75" i="4"/>
  <c r="Q75" i="4"/>
  <c r="U75" i="4"/>
  <c r="V75" i="4"/>
  <c r="X75" i="4"/>
  <c r="Y75" i="4"/>
  <c r="Z75" i="4"/>
  <c r="AE75" i="4"/>
  <c r="AF75" i="4"/>
  <c r="AI75" i="4"/>
  <c r="AJ75" i="4"/>
  <c r="AK75" i="4"/>
  <c r="AL75" i="4"/>
  <c r="AM75" i="4"/>
  <c r="B77" i="4"/>
  <c r="C77" i="4"/>
  <c r="D77" i="4"/>
  <c r="E77" i="4"/>
  <c r="F77" i="4"/>
  <c r="G77" i="4"/>
  <c r="N77" i="4"/>
  <c r="O77" i="4"/>
  <c r="P77" i="4"/>
  <c r="Q77" i="4"/>
  <c r="U77" i="4"/>
  <c r="V77" i="4"/>
  <c r="X77" i="4"/>
  <c r="Y77" i="4"/>
  <c r="Z77" i="4"/>
  <c r="AE77" i="4"/>
  <c r="AF77" i="4"/>
  <c r="AI77" i="4"/>
  <c r="AJ77" i="4"/>
  <c r="AK77" i="4"/>
  <c r="AL77" i="4"/>
  <c r="B78" i="4"/>
  <c r="C78" i="4"/>
  <c r="D78" i="4"/>
  <c r="E78" i="4"/>
  <c r="F78" i="4"/>
  <c r="G78" i="4"/>
  <c r="N78" i="4"/>
  <c r="O78" i="4"/>
  <c r="P78" i="4"/>
  <c r="Q78" i="4"/>
  <c r="U78" i="4"/>
  <c r="V78" i="4"/>
  <c r="X78" i="4"/>
  <c r="Y78" i="4"/>
  <c r="Z78" i="4"/>
  <c r="AC78" i="4"/>
  <c r="AD78" i="4"/>
  <c r="AE78" i="4"/>
  <c r="AF78" i="4"/>
  <c r="AI78" i="4"/>
  <c r="AJ78" i="4"/>
  <c r="AK78" i="4"/>
  <c r="AL78" i="4"/>
  <c r="AM78" i="4"/>
  <c r="A81" i="4"/>
  <c r="K81" i="4"/>
  <c r="B115" i="4"/>
  <c r="C115" i="4"/>
  <c r="D115" i="4"/>
  <c r="E115" i="4"/>
  <c r="F115" i="4"/>
  <c r="G115" i="4"/>
  <c r="N115" i="4"/>
  <c r="O115" i="4"/>
  <c r="P115" i="4"/>
  <c r="Q115" i="4"/>
  <c r="U115" i="4"/>
  <c r="V115" i="4"/>
  <c r="X115" i="4"/>
  <c r="Y115" i="4"/>
  <c r="Z115" i="4"/>
  <c r="AE115" i="4"/>
  <c r="AF115" i="4"/>
  <c r="AI115" i="4"/>
  <c r="AJ115" i="4"/>
  <c r="AK115" i="4"/>
  <c r="AL115" i="4"/>
  <c r="AM115" i="4"/>
  <c r="B117" i="4"/>
  <c r="C117" i="4"/>
  <c r="D117" i="4"/>
  <c r="E117" i="4"/>
  <c r="F117" i="4"/>
  <c r="G117" i="4"/>
  <c r="N117" i="4"/>
  <c r="O117" i="4"/>
  <c r="P117" i="4"/>
  <c r="Q117" i="4"/>
  <c r="U117" i="4"/>
  <c r="V117" i="4"/>
  <c r="X117" i="4"/>
  <c r="Y117" i="4"/>
  <c r="Z117" i="4"/>
  <c r="AE117" i="4"/>
  <c r="AF117" i="4"/>
  <c r="AI117" i="4"/>
  <c r="AJ117" i="4"/>
  <c r="AK117" i="4"/>
  <c r="AL117" i="4"/>
  <c r="AM117" i="4"/>
  <c r="B118" i="4"/>
  <c r="C118" i="4"/>
  <c r="D118" i="4"/>
  <c r="E118" i="4"/>
  <c r="F118" i="4"/>
  <c r="G118" i="4"/>
  <c r="N118" i="4"/>
  <c r="O118" i="4"/>
  <c r="P118" i="4"/>
  <c r="Q118" i="4"/>
  <c r="U118" i="4"/>
  <c r="V118" i="4"/>
  <c r="X118" i="4"/>
  <c r="Y118" i="4"/>
  <c r="Z118" i="4"/>
  <c r="AC118" i="4"/>
  <c r="AD118" i="4"/>
  <c r="AE118" i="4"/>
  <c r="AF118" i="4"/>
  <c r="AI118" i="4"/>
  <c r="AJ118" i="4"/>
  <c r="AK118" i="4"/>
  <c r="AL118" i="4"/>
  <c r="AM118" i="4"/>
  <c r="A121" i="4"/>
  <c r="J121" i="4"/>
  <c r="B155" i="4"/>
  <c r="C155" i="4"/>
  <c r="D155" i="4"/>
  <c r="E155" i="4"/>
  <c r="F155" i="4"/>
  <c r="G155" i="4"/>
  <c r="N155" i="4"/>
  <c r="O155" i="4"/>
  <c r="P155" i="4"/>
  <c r="Q155" i="4"/>
  <c r="U155" i="4"/>
  <c r="V155" i="4"/>
  <c r="X155" i="4"/>
  <c r="Y155" i="4"/>
  <c r="Z155" i="4"/>
  <c r="AE155" i="4"/>
  <c r="AF155" i="4"/>
  <c r="AI155" i="4"/>
  <c r="AJ155" i="4"/>
  <c r="AK155" i="4"/>
  <c r="AL155" i="4"/>
  <c r="AM155" i="4"/>
  <c r="B157" i="4"/>
  <c r="C157" i="4"/>
  <c r="D157" i="4"/>
  <c r="E157" i="4"/>
  <c r="F157" i="4"/>
  <c r="G157" i="4"/>
  <c r="N157" i="4"/>
  <c r="O157" i="4"/>
  <c r="P157" i="4"/>
  <c r="Q157" i="4"/>
  <c r="U157" i="4"/>
  <c r="V157" i="4"/>
  <c r="X157" i="4"/>
  <c r="Y157" i="4"/>
  <c r="Z157" i="4"/>
  <c r="AE157" i="4"/>
  <c r="AF157" i="4"/>
  <c r="AI157" i="4"/>
  <c r="AJ157" i="4"/>
  <c r="AK157" i="4"/>
  <c r="AL157" i="4"/>
  <c r="AM157" i="4"/>
  <c r="B158" i="4"/>
  <c r="C158" i="4"/>
  <c r="D158" i="4"/>
  <c r="E158" i="4"/>
  <c r="F158" i="4"/>
  <c r="G158" i="4"/>
  <c r="N158" i="4"/>
  <c r="O158" i="4"/>
  <c r="P158" i="4"/>
  <c r="Q158" i="4"/>
  <c r="U158" i="4"/>
  <c r="V158" i="4"/>
  <c r="X158" i="4"/>
  <c r="Y158" i="4"/>
  <c r="Z158" i="4"/>
  <c r="AC158" i="4"/>
  <c r="AD158" i="4"/>
  <c r="AE158" i="4"/>
  <c r="AF158" i="4"/>
  <c r="AI158" i="4"/>
  <c r="AJ158" i="4"/>
  <c r="AK158" i="4"/>
  <c r="AL158" i="4"/>
  <c r="AM158" i="4"/>
  <c r="C35" i="1"/>
  <c r="D35" i="1"/>
  <c r="E35" i="1"/>
  <c r="F35" i="1"/>
  <c r="G35" i="1"/>
  <c r="N35" i="1"/>
  <c r="O35" i="1"/>
  <c r="P35" i="1"/>
  <c r="Q35" i="1"/>
  <c r="U35" i="1"/>
  <c r="V35" i="1"/>
  <c r="X35" i="1"/>
  <c r="Y35" i="1"/>
  <c r="Z35" i="1"/>
  <c r="AB35" i="1"/>
  <c r="AE35" i="1"/>
  <c r="AF35" i="1"/>
  <c r="AI35" i="1"/>
  <c r="AJ35" i="1"/>
  <c r="AK35" i="1"/>
  <c r="AL35" i="1"/>
  <c r="AM35" i="1"/>
  <c r="C37" i="1"/>
  <c r="D37" i="1"/>
  <c r="E37" i="1"/>
  <c r="F37" i="1"/>
  <c r="G37" i="1"/>
  <c r="N37" i="1"/>
  <c r="O37" i="1"/>
  <c r="P37" i="1"/>
  <c r="Q37" i="1"/>
  <c r="U37" i="1"/>
  <c r="V37" i="1"/>
  <c r="C38" i="1"/>
  <c r="D38" i="1"/>
  <c r="E38" i="1"/>
  <c r="F38" i="1"/>
  <c r="G38" i="1"/>
  <c r="N38" i="1"/>
  <c r="O38" i="1"/>
  <c r="P38" i="1"/>
  <c r="Q38" i="1"/>
  <c r="U38" i="1"/>
  <c r="V38" i="1"/>
  <c r="C75" i="1"/>
  <c r="D75" i="1"/>
  <c r="E75" i="1"/>
  <c r="F75" i="1"/>
  <c r="G75" i="1"/>
  <c r="N75" i="1"/>
  <c r="O75" i="1"/>
  <c r="P75" i="1"/>
  <c r="Q75" i="1"/>
  <c r="U75" i="1"/>
  <c r="V75" i="1"/>
  <c r="X75" i="1"/>
  <c r="Y75" i="1"/>
  <c r="Z75" i="1"/>
  <c r="AE75" i="1"/>
  <c r="AF75" i="1"/>
  <c r="AI75" i="1"/>
  <c r="AJ75" i="1"/>
  <c r="AK75" i="1"/>
  <c r="AL75" i="1"/>
  <c r="AM75" i="1"/>
  <c r="C77" i="1"/>
  <c r="D77" i="1"/>
  <c r="E77" i="1"/>
  <c r="F77" i="1"/>
  <c r="G77" i="1"/>
  <c r="N77" i="1"/>
  <c r="O77" i="1"/>
  <c r="P77" i="1"/>
  <c r="Q77" i="1"/>
  <c r="U77" i="1"/>
  <c r="V77" i="1"/>
  <c r="X77" i="1"/>
  <c r="Y77" i="1"/>
  <c r="Z77" i="1"/>
  <c r="AE77" i="1"/>
  <c r="AF77" i="1"/>
  <c r="AI77" i="1"/>
  <c r="AJ77" i="1"/>
  <c r="AK77" i="1"/>
  <c r="AL77" i="1"/>
  <c r="C78" i="1"/>
  <c r="D78" i="1"/>
  <c r="E78" i="1"/>
  <c r="F78" i="1"/>
  <c r="G78" i="1"/>
  <c r="N78" i="1"/>
  <c r="O78" i="1"/>
  <c r="P78" i="1"/>
  <c r="Q78" i="1"/>
  <c r="U78" i="1"/>
  <c r="V78" i="1"/>
  <c r="X78" i="1"/>
  <c r="Y78" i="1"/>
  <c r="Z78" i="1"/>
  <c r="AD78" i="1"/>
  <c r="AE78" i="1"/>
  <c r="AF78" i="1"/>
  <c r="B115" i="1"/>
  <c r="C115" i="1"/>
  <c r="D115" i="1"/>
  <c r="E115" i="1"/>
  <c r="F115" i="1"/>
  <c r="G115" i="1"/>
  <c r="N115" i="1"/>
  <c r="O115" i="1"/>
  <c r="P115" i="1"/>
  <c r="Q115" i="1"/>
  <c r="U115" i="1"/>
  <c r="V115" i="1"/>
  <c r="X115" i="1"/>
  <c r="Y115" i="1"/>
  <c r="Z115" i="1"/>
  <c r="AE115" i="1"/>
  <c r="AF115" i="1"/>
  <c r="AI115" i="1"/>
  <c r="AJ115" i="1"/>
  <c r="AK115" i="1"/>
  <c r="AL115" i="1"/>
  <c r="AM115" i="1"/>
  <c r="B117" i="1"/>
  <c r="C117" i="1"/>
  <c r="D117" i="1"/>
  <c r="E117" i="1"/>
  <c r="F117" i="1"/>
  <c r="G117" i="1"/>
  <c r="N117" i="1"/>
  <c r="O117" i="1"/>
  <c r="P117" i="1"/>
  <c r="Q117" i="1"/>
  <c r="U117" i="1"/>
  <c r="V117" i="1"/>
  <c r="X117" i="1"/>
  <c r="Y117" i="1"/>
  <c r="Z117" i="1"/>
  <c r="AE117" i="1"/>
  <c r="AF117" i="1"/>
  <c r="AI117" i="1"/>
  <c r="AJ117" i="1"/>
  <c r="AK117" i="1"/>
  <c r="AL117" i="1"/>
  <c r="AM117" i="1"/>
  <c r="B118" i="1"/>
  <c r="C118" i="1"/>
  <c r="D118" i="1"/>
  <c r="E118" i="1"/>
  <c r="F118" i="1"/>
  <c r="G118" i="1"/>
  <c r="N118" i="1"/>
  <c r="O118" i="1"/>
  <c r="P118" i="1"/>
  <c r="Q118" i="1"/>
  <c r="U118" i="1"/>
  <c r="V118" i="1"/>
  <c r="X118" i="1"/>
  <c r="Y118" i="1"/>
  <c r="Z118" i="1"/>
  <c r="AD118" i="1"/>
  <c r="AE118" i="1"/>
  <c r="AF118" i="1"/>
  <c r="AI118" i="1"/>
  <c r="AJ118" i="1"/>
  <c r="AK118" i="1"/>
  <c r="AL118" i="1"/>
  <c r="AM118" i="1"/>
  <c r="B155" i="1"/>
  <c r="C155" i="1"/>
  <c r="D155" i="1"/>
  <c r="E155" i="1"/>
  <c r="F155" i="1"/>
  <c r="G155" i="1"/>
  <c r="N155" i="1"/>
  <c r="O155" i="1"/>
  <c r="P155" i="1"/>
  <c r="Q155" i="1"/>
  <c r="U155" i="1"/>
  <c r="V155" i="1"/>
  <c r="X155" i="1"/>
  <c r="Y155" i="1"/>
  <c r="Z155" i="1"/>
  <c r="AE155" i="1"/>
  <c r="AF155" i="1"/>
  <c r="AI155" i="1"/>
  <c r="AJ155" i="1"/>
  <c r="AK155" i="1"/>
  <c r="AL155" i="1"/>
  <c r="AM155" i="1"/>
  <c r="B157" i="1"/>
  <c r="C157" i="1"/>
  <c r="D157" i="1"/>
  <c r="E157" i="1"/>
  <c r="F157" i="1"/>
  <c r="G157" i="1"/>
  <c r="N157" i="1"/>
  <c r="O157" i="1"/>
  <c r="P157" i="1"/>
  <c r="Q157" i="1"/>
  <c r="U157" i="1"/>
  <c r="V157" i="1"/>
  <c r="X157" i="1"/>
  <c r="Y157" i="1"/>
  <c r="Z157" i="1"/>
  <c r="AE157" i="1"/>
  <c r="AF157" i="1"/>
  <c r="AI157" i="1"/>
  <c r="AJ157" i="1"/>
  <c r="AK157" i="1"/>
  <c r="AL157" i="1"/>
  <c r="AM157" i="1"/>
  <c r="B158" i="1"/>
  <c r="C158" i="1"/>
  <c r="D158" i="1"/>
  <c r="E158" i="1"/>
  <c r="F158" i="1"/>
  <c r="G158" i="1"/>
  <c r="N158" i="1"/>
  <c r="O158" i="1"/>
  <c r="P158" i="1"/>
  <c r="Q158" i="1"/>
  <c r="U158" i="1"/>
  <c r="V158" i="1"/>
  <c r="X158" i="1"/>
  <c r="Y158" i="1"/>
  <c r="Z158" i="1"/>
  <c r="AC158" i="1"/>
  <c r="AD158" i="1"/>
  <c r="AE158" i="1"/>
  <c r="AF158" i="1"/>
  <c r="AI158" i="1"/>
  <c r="AJ158" i="1"/>
  <c r="AK158" i="1"/>
  <c r="AL158" i="1"/>
  <c r="AM158" i="1"/>
  <c r="AB156" i="11"/>
  <c r="AB116" i="11"/>
  <c r="AB36" i="11"/>
  <c r="AB35" i="11"/>
  <c r="AB118" i="11"/>
  <c r="AB77" i="5"/>
  <c r="AB37" i="4"/>
  <c r="AB158" i="4"/>
  <c r="AB155" i="1"/>
  <c r="AB156" i="5"/>
  <c r="AB37" i="11"/>
  <c r="AB155" i="11"/>
  <c r="AB78" i="5"/>
  <c r="AB158" i="5"/>
  <c r="AB77" i="4"/>
  <c r="AB157" i="1"/>
  <c r="AB157" i="11"/>
  <c r="AB117" i="4"/>
  <c r="AB75" i="11"/>
  <c r="AB115" i="5"/>
  <c r="AB118" i="4"/>
  <c r="AB76" i="4"/>
  <c r="AB38" i="5"/>
  <c r="AB75" i="5"/>
  <c r="AB118" i="5"/>
  <c r="AB36" i="5"/>
  <c r="AB156" i="4"/>
  <c r="AB36" i="4"/>
  <c r="AB75" i="4"/>
  <c r="AB156" i="1"/>
  <c r="AB38" i="4"/>
  <c r="AB38" i="11"/>
  <c r="AB155" i="4"/>
  <c r="AB78" i="4"/>
  <c r="AB35" i="4"/>
  <c r="AB77" i="11"/>
  <c r="AB78" i="11"/>
  <c r="AB76" i="5"/>
  <c r="AB35" i="5"/>
  <c r="AB37" i="5"/>
  <c r="AB115" i="4"/>
  <c r="AB155" i="5"/>
  <c r="AB158" i="11"/>
  <c r="AB157" i="4"/>
  <c r="AB115" i="11"/>
  <c r="AB158" i="1"/>
  <c r="AB117" i="11"/>
  <c r="AB157" i="5"/>
  <c r="AB117" i="5"/>
  <c r="AB76" i="11"/>
  <c r="AB116" i="5"/>
  <c r="AH35" i="4"/>
  <c r="AH38" i="4"/>
  <c r="AH117" i="4"/>
  <c r="AH35" i="1"/>
  <c r="AH77" i="1"/>
  <c r="AH35" i="11"/>
  <c r="AH38" i="11"/>
  <c r="AH77" i="11"/>
  <c r="AH115" i="11"/>
  <c r="AH118" i="11"/>
  <c r="AH157" i="11"/>
  <c r="AH35" i="5"/>
  <c r="AH38" i="5"/>
  <c r="AH77" i="5"/>
  <c r="AH115" i="5"/>
  <c r="AH117" i="1"/>
  <c r="AH155" i="1"/>
  <c r="AH158" i="1"/>
  <c r="AH75" i="4"/>
  <c r="AH78" i="4"/>
  <c r="AH155" i="4"/>
  <c r="AH117" i="5"/>
  <c r="AH155" i="5"/>
  <c r="AH158" i="5"/>
  <c r="AH36" i="11"/>
  <c r="AH36" i="5"/>
  <c r="AH36" i="4"/>
  <c r="AH156" i="11"/>
  <c r="AH76" i="11"/>
  <c r="AH156" i="5"/>
  <c r="AH76" i="5"/>
  <c r="AH156" i="4"/>
  <c r="AH76" i="4"/>
  <c r="AH156" i="1"/>
  <c r="AH76" i="1"/>
  <c r="AH37" i="4"/>
  <c r="AH115" i="4"/>
  <c r="AH118" i="4"/>
  <c r="AH118" i="5"/>
  <c r="AH116" i="5"/>
  <c r="AH116" i="1"/>
  <c r="AH157" i="5"/>
  <c r="AH37" i="11"/>
  <c r="AH78" i="11"/>
  <c r="AH155" i="11"/>
  <c r="AH37" i="5"/>
  <c r="AH78" i="5"/>
  <c r="AH118" i="1"/>
  <c r="AH158" i="4"/>
  <c r="AH116" i="11"/>
  <c r="AH116" i="4"/>
  <c r="AH75" i="1"/>
  <c r="AH78" i="1"/>
  <c r="AH75" i="11"/>
  <c r="AH117" i="11"/>
  <c r="AH158" i="11"/>
  <c r="AH75" i="5"/>
  <c r="AH115" i="1"/>
  <c r="AH157" i="1"/>
  <c r="AH77" i="4"/>
  <c r="AH157" i="4"/>
  <c r="AA38" i="11"/>
  <c r="AA75" i="4"/>
  <c r="AA157" i="5"/>
  <c r="AA118" i="5"/>
  <c r="AA35" i="5"/>
  <c r="AA75" i="1"/>
  <c r="AA78" i="5"/>
  <c r="AA75" i="5"/>
  <c r="AA157" i="4"/>
  <c r="AA117" i="5"/>
  <c r="AA78" i="1"/>
  <c r="AA156" i="4"/>
  <c r="AA76" i="4"/>
  <c r="AA78" i="11"/>
  <c r="AA115" i="5"/>
  <c r="AA155" i="5"/>
  <c r="AA35" i="1"/>
  <c r="AA36" i="4"/>
  <c r="AA115" i="4"/>
  <c r="AA118" i="1"/>
  <c r="AA116" i="11"/>
  <c r="AA77" i="5"/>
  <c r="AA35" i="4"/>
  <c r="AA118" i="4"/>
  <c r="AA158" i="11"/>
  <c r="AA37" i="4"/>
  <c r="AA118" i="11"/>
  <c r="AA35" i="11"/>
  <c r="AA116" i="4"/>
  <c r="AA158" i="5"/>
  <c r="AA76" i="5"/>
  <c r="AA117" i="4"/>
  <c r="AA36" i="11"/>
  <c r="AA38" i="4"/>
  <c r="AA158" i="1"/>
  <c r="AA156" i="1"/>
  <c r="AA157" i="1"/>
  <c r="AA117" i="1"/>
  <c r="AA155" i="4"/>
  <c r="AA158" i="4"/>
  <c r="AA77" i="4"/>
  <c r="AA115" i="1"/>
  <c r="AA155" i="11"/>
  <c r="AA155" i="1"/>
  <c r="AA156" i="11"/>
  <c r="AA157" i="11"/>
  <c r="AA77" i="1"/>
  <c r="AA75" i="11"/>
  <c r="AA38" i="5"/>
  <c r="AA77" i="11"/>
  <c r="AA37" i="5"/>
  <c r="AA115" i="11"/>
  <c r="AA116" i="5"/>
  <c r="AA117" i="11"/>
  <c r="AA116" i="1"/>
  <c r="AA76" i="1"/>
  <c r="AA76" i="11"/>
  <c r="AA78" i="4"/>
  <c r="AA156" i="5"/>
  <c r="AA37" i="11"/>
  <c r="AD155" i="11"/>
  <c r="AD36" i="1"/>
  <c r="AD155" i="5"/>
  <c r="AD155" i="4"/>
  <c r="AD155" i="1"/>
  <c r="AD35" i="11"/>
  <c r="AD37" i="11"/>
  <c r="AD35" i="5"/>
  <c r="AD77" i="5"/>
  <c r="AD115" i="4"/>
  <c r="AD115" i="1"/>
  <c r="AD117" i="1"/>
  <c r="AC36" i="1"/>
  <c r="AC75" i="11"/>
  <c r="AC75" i="5"/>
  <c r="AC75" i="4"/>
  <c r="AC37" i="1"/>
  <c r="AC116" i="11"/>
  <c r="AC36" i="11"/>
  <c r="AC116" i="5"/>
  <c r="AC36" i="5"/>
  <c r="AC116" i="4"/>
  <c r="AC36" i="4"/>
  <c r="AD115" i="5"/>
  <c r="AC35" i="4"/>
  <c r="AD77" i="1"/>
  <c r="AC115" i="11"/>
  <c r="AC117" i="4"/>
  <c r="AD75" i="11"/>
  <c r="AD75" i="5"/>
  <c r="AD75" i="4"/>
  <c r="AD75" i="1"/>
  <c r="AD37" i="1"/>
  <c r="AD116" i="11"/>
  <c r="AD36" i="11"/>
  <c r="AD116" i="5"/>
  <c r="AD36" i="5"/>
  <c r="AD116" i="4"/>
  <c r="AD36" i="4"/>
  <c r="AD116" i="1"/>
  <c r="AD115" i="11"/>
  <c r="AD77" i="11"/>
  <c r="AD37" i="5"/>
  <c r="AD117" i="4"/>
  <c r="AD157" i="1"/>
  <c r="AC155" i="11"/>
  <c r="AC156" i="11"/>
  <c r="AC76" i="11"/>
  <c r="AC156" i="5"/>
  <c r="AC76" i="5"/>
  <c r="AC156" i="4"/>
  <c r="AC76" i="4"/>
  <c r="AC156" i="1"/>
  <c r="AC35" i="1"/>
  <c r="AD156" i="11"/>
  <c r="AD76" i="11"/>
  <c r="AD76" i="4"/>
  <c r="AD37" i="4"/>
  <c r="AC155" i="1"/>
  <c r="AC115" i="5"/>
  <c r="AC117" i="11"/>
  <c r="AC35" i="5"/>
  <c r="AC77" i="5"/>
  <c r="AC37" i="4"/>
  <c r="AD156" i="4"/>
  <c r="AD35" i="1"/>
  <c r="AC155" i="5"/>
  <c r="AC37" i="11"/>
  <c r="AD157" i="5"/>
  <c r="AC157" i="11"/>
  <c r="AD156" i="5"/>
  <c r="AD156" i="1"/>
  <c r="AD117" i="11"/>
  <c r="AC155" i="4"/>
  <c r="AC77" i="4"/>
  <c r="AC35" i="11"/>
  <c r="AC37" i="5"/>
  <c r="AC115" i="4"/>
  <c r="AC157" i="1"/>
  <c r="AD77" i="4"/>
  <c r="AD76" i="5"/>
  <c r="AD76" i="1"/>
  <c r="AD157" i="11"/>
  <c r="AD35" i="4"/>
  <c r="AC157" i="4"/>
  <c r="AD117" i="5"/>
  <c r="AC77" i="11"/>
  <c r="AC117" i="5"/>
  <c r="AD157" i="4"/>
  <c r="AC157" i="5"/>
  <c r="W36" i="1"/>
  <c r="W117" i="5"/>
  <c r="W37" i="11"/>
  <c r="W117" i="11"/>
  <c r="W37" i="5"/>
  <c r="W37" i="4"/>
  <c r="W78" i="4"/>
  <c r="W155" i="4"/>
  <c r="W77" i="1"/>
  <c r="W118" i="1"/>
  <c r="W158" i="1"/>
  <c r="W118" i="5"/>
  <c r="W158" i="5"/>
  <c r="W115" i="5"/>
  <c r="W36" i="5"/>
  <c r="W116" i="5"/>
  <c r="W116" i="1"/>
  <c r="W38" i="11"/>
  <c r="W78" i="11"/>
  <c r="W118" i="11"/>
  <c r="W158" i="11"/>
  <c r="W38" i="5"/>
  <c r="W78" i="5"/>
  <c r="W38" i="4"/>
  <c r="W115" i="4"/>
  <c r="W157" i="4"/>
  <c r="W78" i="1"/>
  <c r="W38" i="1"/>
  <c r="W157" i="5"/>
  <c r="W76" i="11"/>
  <c r="W76" i="5"/>
  <c r="W76" i="4"/>
  <c r="W76" i="1"/>
  <c r="W77" i="11"/>
  <c r="W157" i="11"/>
  <c r="W77" i="5"/>
  <c r="W75" i="4"/>
  <c r="W117" i="4"/>
  <c r="W158" i="4"/>
  <c r="W115" i="1"/>
  <c r="W156" i="1"/>
  <c r="W116" i="4"/>
  <c r="W35" i="11"/>
  <c r="W115" i="11"/>
  <c r="W35" i="5"/>
  <c r="W35" i="4"/>
  <c r="W118" i="4"/>
  <c r="W117" i="1"/>
  <c r="W35" i="1"/>
  <c r="W156" i="11"/>
  <c r="W155" i="1"/>
  <c r="W155" i="5"/>
  <c r="W36" i="4"/>
  <c r="W36" i="11"/>
  <c r="W156" i="5"/>
  <c r="W116" i="11"/>
  <c r="W75" i="11"/>
  <c r="W155" i="11"/>
  <c r="W75" i="5"/>
  <c r="W77" i="4"/>
  <c r="W75" i="1"/>
  <c r="W157" i="1"/>
  <c r="W156" i="4"/>
  <c r="W37" i="1"/>
  <c r="I36" i="1"/>
  <c r="J36" i="1"/>
  <c r="K36" i="1"/>
  <c r="H36" i="11"/>
  <c r="L116" i="11"/>
  <c r="L116" i="5"/>
  <c r="M36" i="1"/>
  <c r="J36" i="5"/>
  <c r="L36" i="1"/>
  <c r="M76" i="4"/>
  <c r="K116" i="1"/>
  <c r="H35" i="11"/>
  <c r="K37" i="11"/>
  <c r="K75" i="11"/>
  <c r="I78" i="11"/>
  <c r="J115" i="11"/>
  <c r="M117" i="11"/>
  <c r="L118" i="11"/>
  <c r="M155" i="11"/>
  <c r="L157" i="11"/>
  <c r="H35" i="5"/>
  <c r="K37" i="5"/>
  <c r="K75" i="5"/>
  <c r="K116" i="11"/>
  <c r="K116" i="5"/>
  <c r="H36" i="1"/>
  <c r="I36" i="5"/>
  <c r="K116" i="4"/>
  <c r="H76" i="4"/>
  <c r="J116" i="1"/>
  <c r="M156" i="5"/>
  <c r="J116" i="4"/>
  <c r="K115" i="5"/>
  <c r="J116" i="11"/>
  <c r="L36" i="11"/>
  <c r="L76" i="11"/>
  <c r="K156" i="5"/>
  <c r="L116" i="4"/>
  <c r="K156" i="1"/>
  <c r="H76" i="1"/>
  <c r="M78" i="11"/>
  <c r="H157" i="11"/>
  <c r="J77" i="5"/>
  <c r="K156" i="11"/>
  <c r="L76" i="5"/>
  <c r="M36" i="5"/>
  <c r="L76" i="4"/>
  <c r="K76" i="1"/>
  <c r="H37" i="11"/>
  <c r="K77" i="11"/>
  <c r="J117" i="11"/>
  <c r="M157" i="11"/>
  <c r="I35" i="5"/>
  <c r="H75" i="5"/>
  <c r="J78" i="5"/>
  <c r="J155" i="5"/>
  <c r="H158" i="5"/>
  <c r="J38" i="4"/>
  <c r="H77" i="4"/>
  <c r="I36" i="11"/>
  <c r="M156" i="4"/>
  <c r="L38" i="11"/>
  <c r="H78" i="11"/>
  <c r="K35" i="5"/>
  <c r="J75" i="5"/>
  <c r="K117" i="5"/>
  <c r="J157" i="5"/>
  <c r="I35" i="4"/>
  <c r="I38" i="4"/>
  <c r="K77" i="4"/>
  <c r="L115" i="4"/>
  <c r="J118" i="4"/>
  <c r="M155" i="4"/>
  <c r="L157" i="4"/>
  <c r="K35" i="1"/>
  <c r="M37" i="1"/>
  <c r="L38" i="1"/>
  <c r="J77" i="1"/>
  <c r="M78" i="1"/>
  <c r="L115" i="1"/>
  <c r="J118" i="1"/>
  <c r="J157" i="1"/>
  <c r="M158" i="1"/>
  <c r="M156" i="11"/>
  <c r="H116" i="5"/>
  <c r="I76" i="5"/>
  <c r="I76" i="4"/>
  <c r="J77" i="11"/>
  <c r="I155" i="11"/>
  <c r="J38" i="5"/>
  <c r="J36" i="11"/>
  <c r="J156" i="4"/>
  <c r="I36" i="4"/>
  <c r="I35" i="11"/>
  <c r="H75" i="11"/>
  <c r="J78" i="11"/>
  <c r="J155" i="11"/>
  <c r="H158" i="11"/>
  <c r="L37" i="5"/>
  <c r="L75" i="5"/>
  <c r="I118" i="5"/>
  <c r="I157" i="5"/>
  <c r="L35" i="4"/>
  <c r="I75" i="4"/>
  <c r="J115" i="4"/>
  <c r="J116" i="5"/>
  <c r="M156" i="1"/>
  <c r="K35" i="11"/>
  <c r="J75" i="11"/>
  <c r="H155" i="11"/>
  <c r="I37" i="5"/>
  <c r="M78" i="5"/>
  <c r="K118" i="5"/>
  <c r="I156" i="11"/>
  <c r="L156" i="11"/>
  <c r="M76" i="5"/>
  <c r="L35" i="11"/>
  <c r="K158" i="11"/>
  <c r="J76" i="11"/>
  <c r="M36" i="4"/>
  <c r="K38" i="11"/>
  <c r="K115" i="11"/>
  <c r="L76" i="1"/>
  <c r="I117" i="11"/>
  <c r="J156" i="5"/>
  <c r="J156" i="1"/>
  <c r="M35" i="11"/>
  <c r="M118" i="11"/>
  <c r="L158" i="11"/>
  <c r="J117" i="5"/>
  <c r="M157" i="5"/>
  <c r="K78" i="4"/>
  <c r="H36" i="5"/>
  <c r="I116" i="1"/>
  <c r="M77" i="11"/>
  <c r="H78" i="5"/>
  <c r="I155" i="5"/>
  <c r="L118" i="4"/>
  <c r="I75" i="1"/>
  <c r="I117" i="1"/>
  <c r="I155" i="1"/>
  <c r="L156" i="5"/>
  <c r="L156" i="1"/>
  <c r="J37" i="11"/>
  <c r="M75" i="11"/>
  <c r="K78" i="11"/>
  <c r="L117" i="11"/>
  <c r="K155" i="11"/>
  <c r="J37" i="5"/>
  <c r="M75" i="5"/>
  <c r="I78" i="5"/>
  <c r="L117" i="5"/>
  <c r="K155" i="5"/>
  <c r="M158" i="5"/>
  <c r="J37" i="4"/>
  <c r="K75" i="4"/>
  <c r="H78" i="4"/>
  <c r="H115" i="4"/>
  <c r="H117" i="4"/>
  <c r="K118" i="4"/>
  <c r="I157" i="4"/>
  <c r="H158" i="4"/>
  <c r="H35" i="1"/>
  <c r="J37" i="1"/>
  <c r="M38" i="1"/>
  <c r="L75" i="1"/>
  <c r="J78" i="1"/>
  <c r="M115" i="1"/>
  <c r="L117" i="1"/>
  <c r="H155" i="1"/>
  <c r="K157" i="1"/>
  <c r="J76" i="5"/>
  <c r="L36" i="4"/>
  <c r="M116" i="11"/>
  <c r="H156" i="4"/>
  <c r="M115" i="11"/>
  <c r="K157" i="11"/>
  <c r="H155" i="5"/>
  <c r="H37" i="4"/>
  <c r="K157" i="4"/>
  <c r="H37" i="1"/>
  <c r="L158" i="1"/>
  <c r="J155" i="1"/>
  <c r="M116" i="4"/>
  <c r="I38" i="5"/>
  <c r="H157" i="5"/>
  <c r="M37" i="4"/>
  <c r="L37" i="1"/>
  <c r="J75" i="1"/>
  <c r="I117" i="5"/>
  <c r="M38" i="4"/>
  <c r="J77" i="4"/>
  <c r="J117" i="4"/>
  <c r="M77" i="1"/>
  <c r="I157" i="1"/>
  <c r="K36" i="11"/>
  <c r="K156" i="4"/>
  <c r="J36" i="4"/>
  <c r="H118" i="11"/>
  <c r="L37" i="11"/>
  <c r="I157" i="11"/>
  <c r="K38" i="5"/>
  <c r="M118" i="5"/>
  <c r="H35" i="4"/>
  <c r="L77" i="4"/>
  <c r="H36" i="4"/>
  <c r="I37" i="4"/>
  <c r="K117" i="4"/>
  <c r="H38" i="1"/>
  <c r="H115" i="1"/>
  <c r="I117" i="4"/>
  <c r="I35" i="1"/>
  <c r="M116" i="5"/>
  <c r="I116" i="5"/>
  <c r="H116" i="1"/>
  <c r="H77" i="11"/>
  <c r="M38" i="5"/>
  <c r="K157" i="5"/>
  <c r="M78" i="4"/>
  <c r="M157" i="4"/>
  <c r="H75" i="1"/>
  <c r="K118" i="1"/>
  <c r="I156" i="4"/>
  <c r="I77" i="11"/>
  <c r="K118" i="11"/>
  <c r="I77" i="5"/>
  <c r="H117" i="5"/>
  <c r="I158" i="5"/>
  <c r="L38" i="4"/>
  <c r="H118" i="4"/>
  <c r="M35" i="1"/>
  <c r="M117" i="1"/>
  <c r="H157" i="1"/>
  <c r="K36" i="4"/>
  <c r="I158" i="11"/>
  <c r="L35" i="5"/>
  <c r="M35" i="5"/>
  <c r="K77" i="5"/>
  <c r="I37" i="11"/>
  <c r="K117" i="11"/>
  <c r="M77" i="5"/>
  <c r="K158" i="5"/>
  <c r="I155" i="4"/>
  <c r="I37" i="1"/>
  <c r="K117" i="1"/>
  <c r="I115" i="4"/>
  <c r="J157" i="4"/>
  <c r="L157" i="1"/>
  <c r="H156" i="11"/>
  <c r="K36" i="5"/>
  <c r="K76" i="5"/>
  <c r="M76" i="1"/>
  <c r="J118" i="11"/>
  <c r="J115" i="5"/>
  <c r="K38" i="4"/>
  <c r="L117" i="4"/>
  <c r="L35" i="1"/>
  <c r="I115" i="1"/>
  <c r="J158" i="1"/>
  <c r="L36" i="5"/>
  <c r="J76" i="4"/>
  <c r="H38" i="11"/>
  <c r="L155" i="11"/>
  <c r="H38" i="5"/>
  <c r="M117" i="5"/>
  <c r="L157" i="5"/>
  <c r="L75" i="4"/>
  <c r="M117" i="4"/>
  <c r="K37" i="1"/>
  <c r="K78" i="1"/>
  <c r="K158" i="1"/>
  <c r="H156" i="1"/>
  <c r="L155" i="4"/>
  <c r="M115" i="5"/>
  <c r="K115" i="1"/>
  <c r="H38" i="4"/>
  <c r="J118" i="5"/>
  <c r="I75" i="11"/>
  <c r="J38" i="11"/>
  <c r="I118" i="11"/>
  <c r="H37" i="5"/>
  <c r="I115" i="5"/>
  <c r="L158" i="5"/>
  <c r="M75" i="4"/>
  <c r="I116" i="11"/>
  <c r="J158" i="11"/>
  <c r="H115" i="5"/>
  <c r="L78" i="4"/>
  <c r="H157" i="4"/>
  <c r="I78" i="1"/>
  <c r="K155" i="1"/>
  <c r="M158" i="4"/>
  <c r="L77" i="1"/>
  <c r="L118" i="1"/>
  <c r="M76" i="11"/>
  <c r="L156" i="4"/>
  <c r="K76" i="4"/>
  <c r="I115" i="11"/>
  <c r="H77" i="5"/>
  <c r="M115" i="4"/>
  <c r="L158" i="4"/>
  <c r="K77" i="1"/>
  <c r="L155" i="1"/>
  <c r="I76" i="11"/>
  <c r="I156" i="1"/>
  <c r="K76" i="11"/>
  <c r="L75" i="11"/>
  <c r="K37" i="4"/>
  <c r="H115" i="11"/>
  <c r="I158" i="1"/>
  <c r="H116" i="11"/>
  <c r="L118" i="5"/>
  <c r="J156" i="11"/>
  <c r="J157" i="11"/>
  <c r="I158" i="4"/>
  <c r="I38" i="11"/>
  <c r="J78" i="4"/>
  <c r="I156" i="5"/>
  <c r="M37" i="5"/>
  <c r="H118" i="1"/>
  <c r="K75" i="1"/>
  <c r="J38" i="1"/>
  <c r="M38" i="11"/>
  <c r="J155" i="4"/>
  <c r="J76" i="1"/>
  <c r="L115" i="11"/>
  <c r="H118" i="5"/>
  <c r="L37" i="4"/>
  <c r="M75" i="1"/>
  <c r="M155" i="1"/>
  <c r="H156" i="5"/>
  <c r="M35" i="4"/>
  <c r="J158" i="4"/>
  <c r="I118" i="4"/>
  <c r="I75" i="5"/>
  <c r="L78" i="1"/>
  <c r="M155" i="5"/>
  <c r="H75" i="4"/>
  <c r="K115" i="4"/>
  <c r="I76" i="1"/>
  <c r="H76" i="5"/>
  <c r="J75" i="4"/>
  <c r="J115" i="1"/>
  <c r="I116" i="4"/>
  <c r="M77" i="4"/>
  <c r="M37" i="11"/>
  <c r="K78" i="5"/>
  <c r="L155" i="5"/>
  <c r="K155" i="4"/>
  <c r="H77" i="1"/>
  <c r="H117" i="11"/>
  <c r="I77" i="1"/>
  <c r="H78" i="1"/>
  <c r="L78" i="5"/>
  <c r="I118" i="1"/>
  <c r="H117" i="1"/>
  <c r="L115" i="5"/>
  <c r="I77" i="4"/>
  <c r="H76" i="11"/>
  <c r="M118" i="1"/>
  <c r="M118" i="4"/>
  <c r="M157" i="1"/>
  <c r="J158" i="5"/>
  <c r="L77" i="11"/>
  <c r="H116" i="4"/>
  <c r="L38" i="5"/>
  <c r="K158" i="4"/>
  <c r="M158" i="11"/>
  <c r="I38" i="1"/>
  <c r="M116" i="1"/>
  <c r="L78" i="11"/>
  <c r="K35" i="4"/>
  <c r="I78" i="4"/>
  <c r="M36" i="11"/>
  <c r="L116" i="1"/>
  <c r="H158" i="1"/>
  <c r="K38" i="1"/>
  <c r="L77" i="5"/>
  <c r="H155" i="4"/>
  <c r="J117" i="1"/>
  <c r="T36" i="1"/>
  <c r="T35" i="11"/>
  <c r="T157" i="11"/>
  <c r="T158" i="5"/>
  <c r="T115" i="4"/>
  <c r="T38" i="1"/>
  <c r="T117" i="1"/>
  <c r="T78" i="11"/>
  <c r="T155" i="11"/>
  <c r="T118" i="5"/>
  <c r="T37" i="4"/>
  <c r="T155" i="4"/>
  <c r="T116" i="5"/>
  <c r="T156" i="4"/>
  <c r="T36" i="11"/>
  <c r="T76" i="4"/>
  <c r="T77" i="11"/>
  <c r="T115" i="5"/>
  <c r="T77" i="4"/>
  <c r="T78" i="1"/>
  <c r="T156" i="5"/>
  <c r="T37" i="11"/>
  <c r="T75" i="5"/>
  <c r="T76" i="1"/>
  <c r="T118" i="11"/>
  <c r="T38" i="4"/>
  <c r="T77" i="1"/>
  <c r="T76" i="5"/>
  <c r="T117" i="11"/>
  <c r="T157" i="5"/>
  <c r="T115" i="1"/>
  <c r="T156" i="11"/>
  <c r="T36" i="4"/>
  <c r="T76" i="11"/>
  <c r="T116" i="11"/>
  <c r="T38" i="11"/>
  <c r="T115" i="11"/>
  <c r="T77" i="5"/>
  <c r="T117" i="5"/>
  <c r="T35" i="4"/>
  <c r="T118" i="4"/>
  <c r="T75" i="1"/>
  <c r="T158" i="1"/>
  <c r="T156" i="1"/>
  <c r="T75" i="11"/>
  <c r="T37" i="5"/>
  <c r="T75" i="4"/>
  <c r="T158" i="4"/>
  <c r="T118" i="1"/>
  <c r="T157" i="1"/>
  <c r="T116" i="4"/>
  <c r="T38" i="5"/>
  <c r="T155" i="5"/>
  <c r="T37" i="1"/>
  <c r="T158" i="11"/>
  <c r="T117" i="4"/>
  <c r="T35" i="1"/>
  <c r="T36" i="5"/>
  <c r="T35" i="5"/>
  <c r="T157" i="4"/>
  <c r="T155" i="1"/>
  <c r="T116" i="1"/>
  <c r="T78" i="5"/>
  <c r="T78" i="4"/>
  <c r="R36" i="1"/>
  <c r="R76" i="11"/>
  <c r="R156" i="4"/>
  <c r="S117" i="11"/>
  <c r="S35" i="4"/>
  <c r="S118" i="4"/>
  <c r="S38" i="1"/>
  <c r="S118" i="1"/>
  <c r="S36" i="1"/>
  <c r="S115" i="5"/>
  <c r="R116" i="4"/>
  <c r="R35" i="11"/>
  <c r="R75" i="11"/>
  <c r="R115" i="11"/>
  <c r="R155" i="11"/>
  <c r="R35" i="5"/>
  <c r="R75" i="5"/>
  <c r="S117" i="5"/>
  <c r="R37" i="4"/>
  <c r="S37" i="11"/>
  <c r="S37" i="5"/>
  <c r="S77" i="4"/>
  <c r="R75" i="1"/>
  <c r="R157" i="1"/>
  <c r="S36" i="11"/>
  <c r="S156" i="1"/>
  <c r="R38" i="11"/>
  <c r="R78" i="11"/>
  <c r="R118" i="11"/>
  <c r="R158" i="11"/>
  <c r="R38" i="5"/>
  <c r="R78" i="5"/>
  <c r="S157" i="5"/>
  <c r="R75" i="4"/>
  <c r="R117" i="4"/>
  <c r="R158" i="4"/>
  <c r="S75" i="1"/>
  <c r="R117" i="1"/>
  <c r="R76" i="1"/>
  <c r="R117" i="11"/>
  <c r="S78" i="5"/>
  <c r="R158" i="5"/>
  <c r="S117" i="4"/>
  <c r="S117" i="1"/>
  <c r="R37" i="5"/>
  <c r="S37" i="4"/>
  <c r="S155" i="4"/>
  <c r="R37" i="11"/>
  <c r="S158" i="11"/>
  <c r="R155" i="5"/>
  <c r="S77" i="1"/>
  <c r="R156" i="1"/>
  <c r="S77" i="11"/>
  <c r="S77" i="5"/>
  <c r="R157" i="5"/>
  <c r="S115" i="4"/>
  <c r="R35" i="1"/>
  <c r="S115" i="1"/>
  <c r="S157" i="11"/>
  <c r="R36" i="4"/>
  <c r="S35" i="1"/>
  <c r="S76" i="5"/>
  <c r="R115" i="5"/>
  <c r="S76" i="4"/>
  <c r="S118" i="11"/>
  <c r="R77" i="4"/>
  <c r="R158" i="1"/>
  <c r="S156" i="5"/>
  <c r="S158" i="1"/>
  <c r="S156" i="11"/>
  <c r="R76" i="4"/>
  <c r="R77" i="11"/>
  <c r="R77" i="5"/>
  <c r="R157" i="4"/>
  <c r="R156" i="11"/>
  <c r="R117" i="5"/>
  <c r="R155" i="4"/>
  <c r="S155" i="11"/>
  <c r="S155" i="1"/>
  <c r="R78" i="1"/>
  <c r="S76" i="11"/>
  <c r="S156" i="4"/>
  <c r="S158" i="5"/>
  <c r="R118" i="4"/>
  <c r="R116" i="1"/>
  <c r="S115" i="11"/>
  <c r="R38" i="4"/>
  <c r="S116" i="5"/>
  <c r="R37" i="1"/>
  <c r="S37" i="1"/>
  <c r="S38" i="4"/>
  <c r="S36" i="4"/>
  <c r="R118" i="5"/>
  <c r="S35" i="11"/>
  <c r="S38" i="5"/>
  <c r="R115" i="1"/>
  <c r="R116" i="11"/>
  <c r="R157" i="11"/>
  <c r="R156" i="5"/>
  <c r="S118" i="5"/>
  <c r="R155" i="1"/>
  <c r="S116" i="11"/>
  <c r="R77" i="1"/>
  <c r="S75" i="4"/>
  <c r="R36" i="11"/>
  <c r="R36" i="5"/>
  <c r="S35" i="5"/>
  <c r="R118" i="1"/>
  <c r="S75" i="11"/>
  <c r="S155" i="5"/>
  <c r="R38" i="1"/>
  <c r="R116" i="5"/>
  <c r="S157" i="1"/>
  <c r="S36" i="5"/>
  <c r="S158" i="4"/>
  <c r="R35" i="4"/>
  <c r="S75" i="5"/>
  <c r="R115" i="4"/>
  <c r="S78" i="1"/>
  <c r="S157" i="4"/>
  <c r="R78" i="4"/>
  <c r="S78" i="11"/>
  <c r="S78" i="4"/>
  <c r="S38" i="11"/>
  <c r="AD79" i="5" l="1"/>
  <c r="W159" i="5"/>
  <c r="AA119" i="4"/>
  <c r="T39" i="1"/>
  <c r="M79" i="1"/>
  <c r="AA39" i="1"/>
  <c r="AB119" i="5"/>
  <c r="W39" i="1"/>
  <c r="AH79" i="4"/>
  <c r="AA79" i="1"/>
  <c r="M79" i="4"/>
  <c r="AB39" i="1"/>
  <c r="H159" i="4"/>
  <c r="I79" i="1"/>
  <c r="R159" i="11"/>
  <c r="Z39" i="1"/>
  <c r="AH39" i="11"/>
  <c r="R79" i="11"/>
  <c r="T159" i="4"/>
  <c r="S159" i="1"/>
  <c r="AB159" i="4"/>
  <c r="S119" i="1"/>
  <c r="AH159" i="4"/>
  <c r="T119" i="11"/>
  <c r="H79" i="5"/>
  <c r="AA79" i="11"/>
  <c r="I79" i="5"/>
  <c r="AD39" i="5"/>
  <c r="AD39" i="11"/>
  <c r="AJ79" i="1"/>
  <c r="AM79" i="1"/>
  <c r="AI79" i="1"/>
  <c r="AL79" i="1"/>
  <c r="AC159" i="4"/>
  <c r="AC159" i="5"/>
  <c r="AC119" i="5"/>
  <c r="AD39" i="4"/>
  <c r="AD79" i="1"/>
  <c r="AK79" i="1"/>
  <c r="AD39" i="1"/>
  <c r="AK39" i="1"/>
  <c r="S119" i="4"/>
  <c r="T119" i="5"/>
  <c r="T39" i="4"/>
  <c r="T119" i="1"/>
  <c r="L39" i="4"/>
  <c r="K79" i="5"/>
  <c r="I119" i="5"/>
  <c r="H39" i="4"/>
  <c r="J39" i="4"/>
  <c r="L119" i="11"/>
  <c r="M79" i="11"/>
  <c r="M159" i="5"/>
  <c r="I39" i="5"/>
  <c r="H79" i="4"/>
  <c r="J119" i="11"/>
  <c r="W39" i="11"/>
  <c r="AD119" i="11"/>
  <c r="AD159" i="5"/>
  <c r="M39" i="4"/>
  <c r="M119" i="5"/>
  <c r="M79" i="5"/>
  <c r="J119" i="4"/>
  <c r="AB159" i="5"/>
  <c r="T79" i="1"/>
  <c r="T79" i="4"/>
  <c r="L159" i="5"/>
  <c r="K159" i="1"/>
  <c r="AH119" i="5"/>
  <c r="AH79" i="5"/>
  <c r="AJ119" i="1"/>
  <c r="AE119" i="1"/>
  <c r="R159" i="4"/>
  <c r="T39" i="5"/>
  <c r="T159" i="5"/>
  <c r="H119" i="11"/>
  <c r="K39" i="4"/>
  <c r="R79" i="5"/>
  <c r="T79" i="11"/>
  <c r="K119" i="4"/>
  <c r="R119" i="1"/>
  <c r="T39" i="11"/>
  <c r="I159" i="11"/>
  <c r="AL159" i="1"/>
  <c r="AD159" i="4"/>
  <c r="H79" i="1"/>
  <c r="K159" i="11"/>
  <c r="J39" i="5"/>
  <c r="P39" i="1"/>
  <c r="AM39" i="1"/>
  <c r="AI39" i="1"/>
  <c r="L39" i="5"/>
  <c r="H159" i="1"/>
  <c r="J159" i="1"/>
  <c r="K79" i="4"/>
  <c r="AM119" i="1"/>
  <c r="AI119" i="1"/>
  <c r="K119" i="11"/>
  <c r="H39" i="1"/>
  <c r="W39" i="5"/>
  <c r="AH39" i="4"/>
  <c r="AK159" i="1"/>
  <c r="AL119" i="1"/>
  <c r="V79" i="1"/>
  <c r="E79" i="1"/>
  <c r="F39" i="1"/>
  <c r="AL159" i="4"/>
  <c r="AL119" i="4"/>
  <c r="AL79" i="4"/>
  <c r="AL39" i="4"/>
  <c r="AK159" i="5"/>
  <c r="AM119" i="5"/>
  <c r="AI119" i="5"/>
  <c r="AM79" i="5"/>
  <c r="AI79" i="5"/>
  <c r="AK39" i="5"/>
  <c r="AM159" i="11"/>
  <c r="AI159" i="11"/>
  <c r="AK119" i="11"/>
  <c r="AM79" i="11"/>
  <c r="AI79" i="11"/>
  <c r="AK39" i="11"/>
  <c r="AK159" i="4"/>
  <c r="AK119" i="4"/>
  <c r="AK79" i="4"/>
  <c r="AK39" i="4"/>
  <c r="AJ159" i="5"/>
  <c r="AL119" i="5"/>
  <c r="AL79" i="5"/>
  <c r="AJ39" i="5"/>
  <c r="AL159" i="11"/>
  <c r="AJ119" i="11"/>
  <c r="AL79" i="11"/>
  <c r="AJ39" i="11"/>
  <c r="AC39" i="5"/>
  <c r="AC39" i="11"/>
  <c r="AC119" i="11"/>
  <c r="AC159" i="1"/>
  <c r="AA39" i="11"/>
  <c r="AA39" i="5"/>
  <c r="AA159" i="5"/>
  <c r="W159" i="11"/>
  <c r="W39" i="4"/>
  <c r="W119" i="5"/>
  <c r="S159" i="11"/>
  <c r="S119" i="5"/>
  <c r="S79" i="11"/>
  <c r="R79" i="1"/>
  <c r="R159" i="5"/>
  <c r="R119" i="4"/>
  <c r="O79" i="1"/>
  <c r="M39" i="11"/>
  <c r="M39" i="5"/>
  <c r="M119" i="1"/>
  <c r="M119" i="11"/>
  <c r="L119" i="4"/>
  <c r="L159" i="1"/>
  <c r="L39" i="11"/>
  <c r="T159" i="11"/>
  <c r="K159" i="5"/>
  <c r="H119" i="4"/>
  <c r="J159" i="5"/>
  <c r="J79" i="5"/>
  <c r="S39" i="1"/>
  <c r="R79" i="4"/>
  <c r="S79" i="5"/>
  <c r="S39" i="4"/>
  <c r="S79" i="4"/>
  <c r="T159" i="1"/>
  <c r="T79" i="5"/>
  <c r="L79" i="5"/>
  <c r="M159" i="1"/>
  <c r="I79" i="4"/>
  <c r="L79" i="1"/>
  <c r="H39" i="5"/>
  <c r="K39" i="1"/>
  <c r="K119" i="1"/>
  <c r="L79" i="4"/>
  <c r="H159" i="5"/>
  <c r="J119" i="5"/>
  <c r="I159" i="5"/>
  <c r="J79" i="1"/>
  <c r="L159" i="4"/>
  <c r="K119" i="5"/>
  <c r="K79" i="11"/>
  <c r="H159" i="11"/>
  <c r="K39" i="5"/>
  <c r="W159" i="1"/>
  <c r="W119" i="4"/>
  <c r="W79" i="11"/>
  <c r="W159" i="4"/>
  <c r="AH79" i="1"/>
  <c r="AB39" i="5"/>
  <c r="Y159" i="1"/>
  <c r="Q159" i="1"/>
  <c r="G159" i="1"/>
  <c r="C159" i="1"/>
  <c r="U119" i="1"/>
  <c r="N119" i="1"/>
  <c r="D119" i="1"/>
  <c r="X79" i="1"/>
  <c r="P79" i="1"/>
  <c r="F79" i="1"/>
  <c r="Q39" i="1"/>
  <c r="G39" i="1"/>
  <c r="S79" i="1"/>
  <c r="R39" i="5"/>
  <c r="S159" i="5"/>
  <c r="S39" i="5"/>
  <c r="M159" i="4"/>
  <c r="H79" i="11"/>
  <c r="I159" i="4"/>
  <c r="K39" i="11"/>
  <c r="W79" i="1"/>
  <c r="AH119" i="1"/>
  <c r="AH79" i="11"/>
  <c r="P159" i="1"/>
  <c r="B159" i="1"/>
  <c r="Y119" i="1"/>
  <c r="C119" i="1"/>
  <c r="C159" i="4"/>
  <c r="Q119" i="4"/>
  <c r="C119" i="4"/>
  <c r="C79" i="4"/>
  <c r="Q39" i="4"/>
  <c r="G39" i="4"/>
  <c r="P159" i="5"/>
  <c r="B159" i="5"/>
  <c r="N119" i="5"/>
  <c r="U79" i="5"/>
  <c r="D79" i="5"/>
  <c r="P39" i="5"/>
  <c r="F39" i="5"/>
  <c r="U159" i="11"/>
  <c r="D159" i="11"/>
  <c r="F119" i="11"/>
  <c r="N79" i="11"/>
  <c r="F39" i="11"/>
  <c r="R39" i="4"/>
  <c r="R39" i="1"/>
  <c r="M119" i="4"/>
  <c r="I39" i="1"/>
  <c r="I79" i="11"/>
  <c r="J79" i="4"/>
  <c r="L119" i="1"/>
  <c r="H39" i="11"/>
  <c r="F159" i="1"/>
  <c r="Q119" i="1"/>
  <c r="G119" i="1"/>
  <c r="Q159" i="4"/>
  <c r="G159" i="4"/>
  <c r="G119" i="4"/>
  <c r="Q79" i="4"/>
  <c r="G79" i="4"/>
  <c r="C39" i="4"/>
  <c r="F159" i="5"/>
  <c r="U119" i="5"/>
  <c r="D119" i="5"/>
  <c r="N79" i="5"/>
  <c r="B39" i="5"/>
  <c r="N159" i="11"/>
  <c r="P119" i="11"/>
  <c r="B119" i="11"/>
  <c r="U79" i="11"/>
  <c r="D79" i="11"/>
  <c r="P39" i="11"/>
  <c r="B39" i="11"/>
  <c r="AD159" i="1"/>
  <c r="AC39" i="1"/>
  <c r="AH39" i="5"/>
  <c r="AH159" i="5"/>
  <c r="AB159" i="11"/>
  <c r="AM159" i="1"/>
  <c r="AI159" i="1"/>
  <c r="U159" i="1"/>
  <c r="N159" i="1"/>
  <c r="D159" i="1"/>
  <c r="V119" i="1"/>
  <c r="O119" i="1"/>
  <c r="E119" i="1"/>
  <c r="Q79" i="1"/>
  <c r="G79" i="1"/>
  <c r="C79" i="1"/>
  <c r="U39" i="1"/>
  <c r="N39" i="1"/>
  <c r="D39" i="1"/>
  <c r="AJ159" i="4"/>
  <c r="AE159" i="4"/>
  <c r="V159" i="4"/>
  <c r="O159" i="4"/>
  <c r="E159" i="4"/>
  <c r="AJ119" i="4"/>
  <c r="AE119" i="4"/>
  <c r="V119" i="4"/>
  <c r="O119" i="4"/>
  <c r="E119" i="4"/>
  <c r="AJ79" i="4"/>
  <c r="AE79" i="4"/>
  <c r="V79" i="4"/>
  <c r="O79" i="4"/>
  <c r="E79" i="4"/>
  <c r="AJ39" i="4"/>
  <c r="AE39" i="4"/>
  <c r="V39" i="4"/>
  <c r="O39" i="4"/>
  <c r="E39" i="4"/>
  <c r="AM159" i="5"/>
  <c r="AI159" i="5"/>
  <c r="U159" i="5"/>
  <c r="N159" i="5"/>
  <c r="D159" i="5"/>
  <c r="AK119" i="5"/>
  <c r="AF119" i="5"/>
  <c r="X119" i="5"/>
  <c r="P119" i="5"/>
  <c r="F119" i="5"/>
  <c r="B119" i="5"/>
  <c r="AK79" i="5"/>
  <c r="AF79" i="5"/>
  <c r="P79" i="5"/>
  <c r="F79" i="5"/>
  <c r="B79" i="5"/>
  <c r="AM39" i="5"/>
  <c r="AI39" i="5"/>
  <c r="U39" i="5"/>
  <c r="N39" i="5"/>
  <c r="D39" i="5"/>
  <c r="AK159" i="11"/>
  <c r="AF159" i="11"/>
  <c r="P159" i="11"/>
  <c r="F159" i="11"/>
  <c r="B159" i="11"/>
  <c r="AM119" i="11"/>
  <c r="AI119" i="11"/>
  <c r="U119" i="11"/>
  <c r="N119" i="11"/>
  <c r="D119" i="11"/>
  <c r="AK79" i="11"/>
  <c r="AF79" i="11"/>
  <c r="P79" i="11"/>
  <c r="F79" i="11"/>
  <c r="B79" i="11"/>
  <c r="AM39" i="11"/>
  <c r="AI39" i="11"/>
  <c r="U39" i="11"/>
  <c r="N39" i="11"/>
  <c r="D39" i="11"/>
  <c r="AC79" i="1"/>
  <c r="S159" i="4"/>
  <c r="R119" i="5"/>
  <c r="R39" i="11"/>
  <c r="R119" i="11"/>
  <c r="R159" i="1"/>
  <c r="S39" i="11"/>
  <c r="S119" i="11"/>
  <c r="T119" i="4"/>
  <c r="J119" i="1"/>
  <c r="L79" i="11"/>
  <c r="H119" i="1"/>
  <c r="J159" i="11"/>
  <c r="K79" i="1"/>
  <c r="J159" i="4"/>
  <c r="I39" i="11"/>
  <c r="H119" i="5"/>
  <c r="I119" i="4"/>
  <c r="I39" i="4"/>
  <c r="I159" i="1"/>
  <c r="L39" i="1"/>
  <c r="K159" i="4"/>
  <c r="J39" i="1"/>
  <c r="L119" i="5"/>
  <c r="J39" i="11"/>
  <c r="I119" i="1"/>
  <c r="I119" i="11"/>
  <c r="J79" i="11"/>
  <c r="M39" i="1"/>
  <c r="M159" i="11"/>
  <c r="L159" i="11"/>
  <c r="W79" i="4"/>
  <c r="W119" i="1"/>
  <c r="W79" i="5"/>
  <c r="W119" i="11"/>
  <c r="AA159" i="11"/>
  <c r="AH159" i="1"/>
  <c r="AH119" i="11"/>
  <c r="AH159" i="11"/>
  <c r="AH119" i="4"/>
  <c r="AJ159" i="1"/>
  <c r="V159" i="1"/>
  <c r="O159" i="1"/>
  <c r="E159" i="1"/>
  <c r="AK119" i="1"/>
  <c r="P119" i="1"/>
  <c r="F119" i="1"/>
  <c r="B119" i="1"/>
  <c r="Z79" i="1"/>
  <c r="U79" i="1"/>
  <c r="N79" i="1"/>
  <c r="D79" i="1"/>
  <c r="V39" i="1"/>
  <c r="O39" i="1"/>
  <c r="E39" i="1"/>
  <c r="P159" i="4"/>
  <c r="F159" i="4"/>
  <c r="B159" i="4"/>
  <c r="P119" i="4"/>
  <c r="F119" i="4"/>
  <c r="B119" i="4"/>
  <c r="P79" i="4"/>
  <c r="F79" i="4"/>
  <c r="B79" i="4"/>
  <c r="P39" i="4"/>
  <c r="F39" i="4"/>
  <c r="B39" i="4"/>
  <c r="V159" i="5"/>
  <c r="O159" i="5"/>
  <c r="E159" i="5"/>
  <c r="Q119" i="5"/>
  <c r="G119" i="5"/>
  <c r="C119" i="5"/>
  <c r="Q79" i="5"/>
  <c r="G79" i="5"/>
  <c r="C79" i="5"/>
  <c r="V39" i="5"/>
  <c r="O39" i="5"/>
  <c r="E39" i="5"/>
  <c r="Q159" i="11"/>
  <c r="G159" i="11"/>
  <c r="C159" i="11"/>
  <c r="V119" i="11"/>
  <c r="O119" i="11"/>
  <c r="E119" i="11"/>
  <c r="Q79" i="11"/>
  <c r="G79" i="11"/>
  <c r="C79" i="11"/>
  <c r="V39" i="11"/>
  <c r="O39" i="11"/>
  <c r="E39" i="11"/>
  <c r="AL39" i="1"/>
  <c r="AH39" i="1"/>
  <c r="B79" i="1"/>
  <c r="B39" i="1"/>
  <c r="C39" i="1"/>
  <c r="AM159" i="4"/>
  <c r="AI159" i="4"/>
  <c r="U159" i="4"/>
  <c r="N159" i="4"/>
  <c r="D159" i="4"/>
  <c r="AM119" i="4"/>
  <c r="AI119" i="4"/>
  <c r="Z119" i="4"/>
  <c r="U119" i="4"/>
  <c r="N119" i="4"/>
  <c r="D119" i="4"/>
  <c r="AM79" i="4"/>
  <c r="AI79" i="4"/>
  <c r="U79" i="4"/>
  <c r="N79" i="4"/>
  <c r="D79" i="4"/>
  <c r="AM39" i="4"/>
  <c r="AI39" i="4"/>
  <c r="U39" i="4"/>
  <c r="N39" i="4"/>
  <c r="D39" i="4"/>
  <c r="AL159" i="5"/>
  <c r="Q159" i="5"/>
  <c r="G159" i="5"/>
  <c r="C159" i="5"/>
  <c r="AJ119" i="5"/>
  <c r="AE119" i="5"/>
  <c r="V119" i="5"/>
  <c r="O119" i="5"/>
  <c r="E119" i="5"/>
  <c r="AJ79" i="5"/>
  <c r="AE79" i="5"/>
  <c r="V79" i="5"/>
  <c r="O79" i="5"/>
  <c r="E79" i="5"/>
  <c r="AL39" i="5"/>
  <c r="Q39" i="5"/>
  <c r="G39" i="5"/>
  <c r="C39" i="5"/>
  <c r="AJ159" i="11"/>
  <c r="AE159" i="11"/>
  <c r="V159" i="11"/>
  <c r="O159" i="11"/>
  <c r="E159" i="11"/>
  <c r="AL119" i="11"/>
  <c r="Q119" i="11"/>
  <c r="G119" i="11"/>
  <c r="C119" i="11"/>
  <c r="AJ79" i="11"/>
  <c r="AE79" i="11"/>
  <c r="V79" i="11"/>
  <c r="O79" i="11"/>
  <c r="E79" i="11"/>
  <c r="AL39" i="11"/>
  <c r="Q39" i="11"/>
  <c r="G39" i="11"/>
  <c r="C39" i="11"/>
  <c r="AJ39" i="1"/>
  <c r="AC119" i="1"/>
  <c r="AF79" i="1"/>
  <c r="AF39" i="1"/>
  <c r="AF159" i="1"/>
  <c r="AF159" i="5"/>
  <c r="AF39" i="5"/>
  <c r="AF119" i="11"/>
  <c r="AF39" i="11"/>
  <c r="AF119" i="1"/>
  <c r="AF159" i="4"/>
  <c r="AF119" i="4"/>
  <c r="AF79" i="4"/>
  <c r="AF39" i="4"/>
  <c r="AE79" i="1"/>
  <c r="AE39" i="1"/>
  <c r="AE159" i="1"/>
  <c r="AE159" i="5"/>
  <c r="AE39" i="5"/>
  <c r="AE119" i="11"/>
  <c r="AE39" i="11"/>
  <c r="AD79" i="4"/>
  <c r="AD119" i="4"/>
  <c r="AD119" i="1"/>
  <c r="AD159" i="11"/>
  <c r="AD119" i="5"/>
  <c r="AD79" i="11"/>
  <c r="AC39" i="4"/>
  <c r="AC119" i="4"/>
  <c r="AC79" i="11"/>
  <c r="AC79" i="4"/>
  <c r="AC79" i="5"/>
  <c r="AC159" i="11"/>
  <c r="AB79" i="11"/>
  <c r="AB159" i="1"/>
  <c r="AB79" i="1"/>
  <c r="AB119" i="11"/>
  <c r="AB79" i="4"/>
  <c r="AB39" i="11"/>
  <c r="AB39" i="4"/>
  <c r="AB119" i="1"/>
  <c r="AB119" i="4"/>
  <c r="AB79" i="5"/>
  <c r="AA79" i="4"/>
  <c r="AA159" i="1"/>
  <c r="AA159" i="4"/>
  <c r="AA119" i="11"/>
  <c r="AA119" i="1"/>
  <c r="AA39" i="4"/>
  <c r="AA79" i="5"/>
  <c r="AA119" i="5"/>
  <c r="Z159" i="1"/>
  <c r="Z159" i="5"/>
  <c r="Z39" i="5"/>
  <c r="Z119" i="11"/>
  <c r="Z39" i="11"/>
  <c r="Z119" i="1"/>
  <c r="Z159" i="4"/>
  <c r="Z79" i="4"/>
  <c r="Z39" i="4"/>
  <c r="Z119" i="5"/>
  <c r="Z79" i="5"/>
  <c r="Z159" i="11"/>
  <c r="Z79" i="11"/>
  <c r="Y159" i="5"/>
  <c r="Y159" i="4"/>
  <c r="Y119" i="4"/>
  <c r="Y79" i="4"/>
  <c r="Y39" i="4"/>
  <c r="Y119" i="5"/>
  <c r="Y79" i="5"/>
  <c r="Y159" i="11"/>
  <c r="Y79" i="11"/>
  <c r="Y39" i="1"/>
  <c r="Y39" i="5"/>
  <c r="Y119" i="11"/>
  <c r="Y39" i="11"/>
  <c r="Y79" i="1"/>
  <c r="X79" i="5"/>
  <c r="X159" i="11"/>
  <c r="X79" i="11"/>
  <c r="X159" i="1"/>
  <c r="X159" i="5"/>
  <c r="X39" i="5"/>
  <c r="X119" i="11"/>
  <c r="X39" i="11"/>
  <c r="X39" i="1"/>
  <c r="X119" i="1"/>
  <c r="X159" i="4"/>
  <c r="X119" i="4"/>
  <c r="X79" i="4"/>
  <c r="X39" i="4"/>
  <c r="AG36" i="1" l="1"/>
  <c r="AG116" i="1"/>
  <c r="AG75" i="4"/>
  <c r="AG155" i="4"/>
  <c r="AG116" i="11"/>
  <c r="AG36" i="4"/>
  <c r="AG78" i="11"/>
  <c r="AG158" i="11"/>
  <c r="AG78" i="5"/>
  <c r="AG118" i="5"/>
  <c r="AG118" i="1"/>
  <c r="AG38" i="1"/>
  <c r="AG36" i="5"/>
  <c r="AG155" i="11"/>
  <c r="AG75" i="1"/>
  <c r="AG75" i="5"/>
  <c r="AG118" i="4"/>
  <c r="AG117" i="1"/>
  <c r="AG156" i="1"/>
  <c r="AG156" i="11"/>
  <c r="AG76" i="4"/>
  <c r="AG76" i="1"/>
  <c r="AG118" i="11"/>
  <c r="AG158" i="5"/>
  <c r="AG78" i="1"/>
  <c r="AG78" i="4"/>
  <c r="AG158" i="4"/>
  <c r="AG116" i="5"/>
  <c r="AG157" i="11"/>
  <c r="AG157" i="1"/>
  <c r="AG37" i="11"/>
  <c r="AG76" i="11"/>
  <c r="AG156" i="5"/>
  <c r="AG38" i="11"/>
  <c r="AG38" i="4"/>
  <c r="AG36" i="11"/>
  <c r="AG35" i="4"/>
  <c r="AG115" i="4"/>
  <c r="AG115" i="1"/>
  <c r="AG116" i="4"/>
  <c r="AG35" i="11"/>
  <c r="AG115" i="11"/>
  <c r="AG35" i="5"/>
  <c r="AG115" i="5"/>
  <c r="AG155" i="5"/>
  <c r="AG155" i="1"/>
  <c r="AG76" i="5"/>
  <c r="AG77" i="1"/>
  <c r="AG75" i="11"/>
  <c r="AG38" i="5"/>
  <c r="AG77" i="4"/>
  <c r="AG37" i="4"/>
  <c r="AG77" i="11"/>
  <c r="AG77" i="5"/>
  <c r="AG37" i="1"/>
  <c r="AG117" i="5"/>
  <c r="AG157" i="5"/>
  <c r="AG156" i="4"/>
  <c r="AG158" i="1"/>
  <c r="AG35" i="1"/>
  <c r="AG37" i="5"/>
  <c r="AG117" i="11"/>
  <c r="AG157" i="4"/>
  <c r="AG117" i="4"/>
  <c r="AG159" i="4" l="1"/>
  <c r="AG119" i="4"/>
  <c r="AG119" i="5"/>
  <c r="AG79" i="1"/>
  <c r="AG79" i="5"/>
  <c r="AG119" i="11"/>
  <c r="AG79" i="11"/>
  <c r="AG79" i="4"/>
  <c r="AG39" i="11"/>
  <c r="AG39" i="4"/>
  <c r="AG39" i="5"/>
  <c r="AG159" i="11"/>
  <c r="AG159" i="5"/>
  <c r="AG119" i="1"/>
  <c r="AG159" i="1"/>
  <c r="AG39" i="1"/>
</calcChain>
</file>

<file path=xl/sharedStrings.xml><?xml version="1.0" encoding="utf-8"?>
<sst xmlns="http://schemas.openxmlformats.org/spreadsheetml/2006/main" count="894" uniqueCount="58">
  <si>
    <t>入荷量</t>
    <rPh sb="0" eb="3">
      <t>ニュウカリョウ</t>
    </rPh>
    <phoneticPr fontId="5"/>
  </si>
  <si>
    <t>卸売価格</t>
    <rPh sb="0" eb="2">
      <t>オロシウリ</t>
    </rPh>
    <rPh sb="2" eb="4">
      <t>カカク</t>
    </rPh>
    <phoneticPr fontId="5"/>
  </si>
  <si>
    <t>平均価格</t>
    <rPh sb="0" eb="2">
      <t>ヘイキン</t>
    </rPh>
    <rPh sb="2" eb="4">
      <t>カカク</t>
    </rPh>
    <phoneticPr fontId="5"/>
  </si>
  <si>
    <t>トン</t>
  </si>
  <si>
    <t>福岡市</t>
    <rPh sb="0" eb="3">
      <t>フクオカシ</t>
    </rPh>
    <phoneticPr fontId="6"/>
  </si>
  <si>
    <t>大阪市</t>
    <rPh sb="0" eb="3">
      <t>オオサカシ</t>
    </rPh>
    <phoneticPr fontId="6"/>
  </si>
  <si>
    <t>名古屋市</t>
    <rPh sb="0" eb="4">
      <t>ナゴヤシ</t>
    </rPh>
    <phoneticPr fontId="6"/>
  </si>
  <si>
    <t>東京都</t>
    <rPh sb="0" eb="2">
      <t>トウキョウ</t>
    </rPh>
    <rPh sb="2" eb="3">
      <t>ト</t>
    </rPh>
    <phoneticPr fontId="6"/>
  </si>
  <si>
    <t>きゅうり</t>
  </si>
  <si>
    <t>トマト</t>
  </si>
  <si>
    <t>なす</t>
  </si>
  <si>
    <t>ピーマン</t>
  </si>
  <si>
    <t>　　1．「きゅうり」の卸売数量と価格の推移　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4"/>
  </si>
  <si>
    <t>　　２．「トマト」の卸売数量と価格の推移　</t>
    <rPh sb="10" eb="12">
      <t>オロシウリ</t>
    </rPh>
    <rPh sb="12" eb="14">
      <t>スウリョウ</t>
    </rPh>
    <rPh sb="15" eb="17">
      <t>カカク</t>
    </rPh>
    <rPh sb="18" eb="20">
      <t>スイイ</t>
    </rPh>
    <phoneticPr fontId="4"/>
  </si>
  <si>
    <t>　　３．「なす」の卸売数量と価格の推移　</t>
    <rPh sb="9" eb="11">
      <t>オロシウリ</t>
    </rPh>
    <rPh sb="11" eb="13">
      <t>スウリョウ</t>
    </rPh>
    <rPh sb="14" eb="16">
      <t>カカク</t>
    </rPh>
    <rPh sb="17" eb="19">
      <t>スイイ</t>
    </rPh>
    <phoneticPr fontId="4"/>
  </si>
  <si>
    <t>　　４．「ピーマン」の卸売数量と価格の推移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4"/>
  </si>
  <si>
    <r>
      <t>　　　　　　　　　　　</t>
    </r>
    <r>
      <rPr>
        <b/>
        <sz val="10"/>
        <rFont val="ＭＳ Ｐゴシック"/>
        <family val="3"/>
        <charset val="128"/>
      </rPr>
      <t>（東京都中央卸売市場）</t>
    </r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</si>
  <si>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（名古屋市中央卸売市場）</t>
    </r>
    <rPh sb="12" eb="16">
      <t>ナゴヤシ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</si>
  <si>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（大阪市中央卸売市場）</t>
    </r>
    <rPh sb="12" eb="14">
      <t>オオサカ</t>
    </rPh>
    <rPh sb="14" eb="15">
      <t>シ</t>
    </rPh>
    <rPh sb="15" eb="17">
      <t>チュウオウ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</si>
  <si>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（福岡市中央卸売市場）</t>
    </r>
    <rPh sb="12" eb="14">
      <t>フクオカ</t>
    </rPh>
    <rPh sb="14" eb="15">
      <t>シ</t>
    </rPh>
    <rPh sb="15" eb="17">
      <t>チュウオウ</t>
    </rPh>
    <phoneticPr fontId="5"/>
  </si>
  <si>
    <t>平均価格</t>
    <rPh sb="0" eb="2">
      <t>ヘイキン</t>
    </rPh>
    <rPh sb="2" eb="4">
      <t>カカク</t>
    </rPh>
    <phoneticPr fontId="7"/>
  </si>
  <si>
    <t>入荷量</t>
    <rPh sb="0" eb="3">
      <t>ニュウカリョウ</t>
    </rPh>
    <phoneticPr fontId="8"/>
  </si>
  <si>
    <t>卸売価格</t>
    <rPh sb="0" eb="2">
      <t>オロシウリ</t>
    </rPh>
    <rPh sb="2" eb="4">
      <t>カカク</t>
    </rPh>
    <phoneticPr fontId="8"/>
  </si>
  <si>
    <t>平年比</t>
    <rPh sb="0" eb="2">
      <t>ヘイネン</t>
    </rPh>
    <rPh sb="2" eb="3">
      <t>ヒ</t>
    </rPh>
    <phoneticPr fontId="4"/>
  </si>
  <si>
    <t>　　　資料：alic「ベジ探」、（原資料）農林水産省「青果物卸売市場調査（日別調査）結果」</t>
  </si>
  <si>
    <t xml:space="preserve"> </t>
    <phoneticPr fontId="5"/>
  </si>
  <si>
    <t>28</t>
  </si>
  <si>
    <t>26</t>
  </si>
  <si>
    <t>9</t>
  </si>
  <si>
    <t>16</t>
  </si>
  <si>
    <t>23</t>
  </si>
  <si>
    <t>6</t>
  </si>
  <si>
    <t>13</t>
  </si>
  <si>
    <t>20</t>
  </si>
  <si>
    <t>27</t>
  </si>
  <si>
    <t>12</t>
  </si>
  <si>
    <t>19</t>
  </si>
  <si>
    <t>30</t>
  </si>
  <si>
    <t>7</t>
  </si>
  <si>
    <t>14</t>
  </si>
  <si>
    <t>21</t>
  </si>
  <si>
    <t>4</t>
  </si>
  <si>
    <t>11</t>
  </si>
  <si>
    <t>18</t>
  </si>
  <si>
    <t>25</t>
  </si>
  <si>
    <t>2</t>
  </si>
  <si>
    <t>8</t>
  </si>
  <si>
    <t>15</t>
  </si>
  <si>
    <t>22</t>
  </si>
  <si>
    <t>29</t>
  </si>
  <si>
    <t>6/1</t>
  </si>
  <si>
    <t>5</t>
  </si>
  <si>
    <t>7/2</t>
  </si>
  <si>
    <t>3</t>
  </si>
  <si>
    <t>10</t>
  </si>
  <si>
    <t>17</t>
  </si>
  <si>
    <t>24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</si>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</sst>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m/d;@"/>
    <numFmt numFmtId="178" formatCode="[$-411]ggge&quot;年&quot;m&quot;月&quot;"/>
  </numFmts>
  <fonts count="50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7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3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  <scheme val="minor"/>
    </font>
    <font>
      <b/>
      <sz val="10"/>
      <color indexed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7"/>
      <color indexed="10"/>
      <name val="ＭＳ Ｐゴシック"/>
      <family val="3"/>
      <charset val="128"/>
      <scheme val="minor"/>
    </font>
    <font>
      <b/>
      <sz val="10"/>
      <color rgb="FFFF0000"/>
      <name val="BIZ UDP明朝 Medium"/>
      <family val="1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2"/>
      <name val="ＭＳ Ｐ明朝"/>
      <family val="1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5">
    <xf numFmtId="0" fontId="0" fillId="0" borderId="0">
      <alignment vertical="center"/>
    </xf>
    <xf numFmtId="38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8" borderId="19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1" fillId="9" borderId="19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10" borderId="22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1" fillId="11" borderId="23" applyNumberFormat="0" applyFon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9" fillId="0" borderId="0"/>
    <xf numFmtId="38" fontId="4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38" fontId="16" fillId="0" borderId="0" xfId="1" applyFont="1">
      <alignment vertical="center"/>
    </xf>
    <xf numFmtId="38" fontId="18" fillId="0" borderId="0" xfId="1" applyFont="1" applyAlignment="1">
      <alignment horizontal="center" vertical="center"/>
    </xf>
    <xf numFmtId="38" fontId="16" fillId="0" borderId="0" xfId="1" applyFont="1" applyBorder="1">
      <alignment vertical="center"/>
    </xf>
    <xf numFmtId="38" fontId="6" fillId="0" borderId="0" xfId="1" applyFont="1" applyBorder="1" applyAlignment="1">
      <alignment horizontal="center" vertical="center"/>
    </xf>
    <xf numFmtId="0" fontId="19" fillId="0" borderId="0" xfId="0" applyFont="1">
      <alignment vertical="center"/>
    </xf>
    <xf numFmtId="0" fontId="0" fillId="2" borderId="0" xfId="0" applyFill="1">
      <alignment vertical="center"/>
    </xf>
    <xf numFmtId="38" fontId="20" fillId="2" borderId="0" xfId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38" fontId="17" fillId="0" borderId="0" xfId="1" applyFont="1">
      <alignment vertical="center"/>
    </xf>
    <xf numFmtId="0" fontId="0" fillId="0" borderId="2" xfId="0" applyBorder="1">
      <alignment vertical="center"/>
    </xf>
    <xf numFmtId="38" fontId="6" fillId="0" borderId="3" xfId="1" applyFont="1" applyBorder="1" applyAlignment="1">
      <alignment horizontal="center" vertical="center"/>
    </xf>
    <xf numFmtId="38" fontId="6" fillId="0" borderId="4" xfId="1" applyFont="1" applyBorder="1" applyAlignment="1">
      <alignment horizontal="center" vertical="center"/>
    </xf>
    <xf numFmtId="38" fontId="6" fillId="0" borderId="5" xfId="1" applyFont="1" applyBorder="1" applyAlignment="1">
      <alignment horizontal="center" vertical="center"/>
    </xf>
    <xf numFmtId="178" fontId="10" fillId="3" borderId="6" xfId="1" applyNumberFormat="1" applyFont="1" applyFill="1" applyBorder="1" applyAlignment="1">
      <alignment horizontal="right" vertical="center"/>
    </xf>
    <xf numFmtId="0" fontId="0" fillId="0" borderId="7" xfId="0" applyBorder="1">
      <alignment vertical="center"/>
    </xf>
    <xf numFmtId="38" fontId="16" fillId="4" borderId="8" xfId="1" applyFont="1" applyFill="1" applyBorder="1">
      <alignment vertical="center"/>
    </xf>
    <xf numFmtId="38" fontId="16" fillId="4" borderId="9" xfId="1" applyFont="1" applyFill="1" applyBorder="1">
      <alignment vertical="center"/>
    </xf>
    <xf numFmtId="0" fontId="13" fillId="0" borderId="0" xfId="0" applyFont="1">
      <alignment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applyBorder="1">
      <alignment vertical="center"/>
    </xf>
    <xf numFmtId="38" fontId="16" fillId="4" borderId="12" xfId="1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38" fontId="11" fillId="0" borderId="15" xfId="1" quotePrefix="1" applyFont="1" applyBorder="1" applyAlignment="1">
      <alignment horizontal="center" vertical="center"/>
    </xf>
    <xf numFmtId="38" fontId="16" fillId="4" borderId="0" xfId="1" applyFont="1" applyFill="1" applyBorder="1">
      <alignment vertical="center"/>
    </xf>
    <xf numFmtId="38" fontId="11" fillId="0" borderId="0" xfId="1" applyFont="1" applyBorder="1">
      <alignment vertical="center"/>
    </xf>
    <xf numFmtId="38" fontId="11" fillId="4" borderId="0" xfId="1" applyFont="1" applyFill="1" applyBorder="1">
      <alignment vertical="center"/>
    </xf>
    <xf numFmtId="178" fontId="10" fillId="0" borderId="6" xfId="1" applyNumberFormat="1" applyFont="1" applyFill="1" applyBorder="1" applyAlignment="1">
      <alignment horizontal="right" vertical="center"/>
    </xf>
    <xf numFmtId="0" fontId="0" fillId="0" borderId="8" xfId="0" applyBorder="1">
      <alignment vertical="center"/>
    </xf>
    <xf numFmtId="38" fontId="16" fillId="2" borderId="0" xfId="1" applyFont="1" applyFill="1" applyBorder="1">
      <alignment vertical="center"/>
    </xf>
    <xf numFmtId="38" fontId="15" fillId="0" borderId="2" xfId="1" applyFont="1" applyBorder="1">
      <alignment vertical="center"/>
    </xf>
    <xf numFmtId="0" fontId="24" fillId="0" borderId="0" xfId="0" applyFont="1" applyAlignment="1">
      <alignment vertical="top"/>
    </xf>
    <xf numFmtId="38" fontId="24" fillId="0" borderId="0" xfId="1" applyFont="1" applyAlignment="1">
      <alignment vertical="top"/>
    </xf>
    <xf numFmtId="38" fontId="25" fillId="0" borderId="0" xfId="1" applyFont="1" applyAlignment="1">
      <alignment horizontal="center" vertical="top"/>
    </xf>
    <xf numFmtId="38" fontId="25" fillId="0" borderId="0" xfId="1" applyFont="1" applyAlignment="1">
      <alignment vertical="top"/>
    </xf>
    <xf numFmtId="38" fontId="26" fillId="0" borderId="0" xfId="1" applyFont="1" applyBorder="1" applyAlignment="1">
      <alignment horizontal="center" vertical="top"/>
    </xf>
    <xf numFmtId="38" fontId="28" fillId="0" borderId="0" xfId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38" fontId="29" fillId="0" borderId="0" xfId="1" applyFont="1" applyAlignment="1">
      <alignment horizontal="center" vertical="center"/>
    </xf>
    <xf numFmtId="38" fontId="15" fillId="0" borderId="2" xfId="1" applyFont="1" applyBorder="1" applyAlignment="1">
      <alignment vertical="center" shrinkToFit="1"/>
    </xf>
    <xf numFmtId="0" fontId="30" fillId="0" borderId="0" xfId="0" applyFont="1">
      <alignment vertical="center"/>
    </xf>
    <xf numFmtId="38" fontId="0" fillId="0" borderId="0" xfId="1" applyFont="1">
      <alignment vertical="center"/>
    </xf>
    <xf numFmtId="38" fontId="31" fillId="0" borderId="0" xfId="1" applyFont="1" applyAlignment="1">
      <alignment horizontal="center" vertical="center"/>
    </xf>
    <xf numFmtId="178" fontId="14" fillId="0" borderId="2" xfId="1" applyNumberFormat="1" applyFont="1" applyFill="1" applyBorder="1" applyAlignment="1">
      <alignment horizontal="center" vertical="center"/>
    </xf>
    <xf numFmtId="177" fontId="14" fillId="0" borderId="2" xfId="1" applyNumberFormat="1" applyFont="1" applyBorder="1" applyAlignment="1">
      <alignment horizontal="center" vertical="center"/>
    </xf>
    <xf numFmtId="38" fontId="14" fillId="0" borderId="2" xfId="1" applyFont="1" applyBorder="1" applyAlignment="1">
      <alignment horizontal="center" vertical="center"/>
    </xf>
    <xf numFmtId="38" fontId="22" fillId="0" borderId="2" xfId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27" fillId="0" borderId="2" xfId="3" applyFont="1" applyBorder="1" applyAlignment="1">
      <alignment vertical="center" shrinkToFit="1"/>
    </xf>
    <xf numFmtId="177" fontId="21" fillId="0" borderId="2" xfId="1" quotePrefix="1" applyNumberFormat="1" applyFont="1" applyBorder="1" applyAlignment="1">
      <alignment horizontal="center" vertical="center"/>
    </xf>
    <xf numFmtId="177" fontId="23" fillId="0" borderId="2" xfId="1" quotePrefix="1" applyNumberFormat="1" applyFont="1" applyBorder="1" applyAlignment="1">
      <alignment horizontal="center" vertical="center"/>
    </xf>
    <xf numFmtId="176" fontId="23" fillId="0" borderId="2" xfId="1" quotePrefix="1" applyNumberFormat="1" applyFont="1" applyBorder="1" applyAlignment="1">
      <alignment horizontal="center" vertical="center"/>
    </xf>
    <xf numFmtId="176" fontId="21" fillId="0" borderId="2" xfId="1" quotePrefix="1" applyNumberFormat="1" applyFont="1" applyBorder="1" applyAlignment="1">
      <alignment horizontal="center" vertical="center"/>
    </xf>
    <xf numFmtId="0" fontId="23" fillId="0" borderId="2" xfId="1" quotePrefix="1" applyNumberFormat="1" applyFont="1" applyBorder="1" applyAlignment="1">
      <alignment horizontal="center" vertical="center"/>
    </xf>
    <xf numFmtId="0" fontId="21" fillId="0" borderId="2" xfId="1" quotePrefix="1" applyNumberFormat="1" applyFont="1" applyBorder="1" applyAlignment="1">
      <alignment horizontal="center" vertical="center"/>
    </xf>
    <xf numFmtId="177" fontId="14" fillId="0" borderId="2" xfId="1" quotePrefix="1" applyNumberFormat="1" applyFont="1" applyBorder="1" applyAlignment="1">
      <alignment horizontal="center" vertical="center"/>
    </xf>
    <xf numFmtId="38" fontId="14" fillId="0" borderId="2" xfId="1" quotePrefix="1" applyFont="1" applyBorder="1" applyAlignment="1">
      <alignment horizontal="center" vertical="center"/>
    </xf>
    <xf numFmtId="38" fontId="22" fillId="0" borderId="2" xfId="1" quotePrefix="1" applyFont="1" applyBorder="1" applyAlignment="1">
      <alignment horizontal="center" vertical="center"/>
    </xf>
    <xf numFmtId="0" fontId="14" fillId="0" borderId="2" xfId="1" quotePrefix="1" applyNumberFormat="1" applyFont="1" applyBorder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1" fillId="0" borderId="0" xfId="41">
      <alignment vertical="center"/>
    </xf>
    <xf numFmtId="38" fontId="16" fillId="0" borderId="15" xfId="42" applyFont="1" applyBorder="1" applyAlignment="1">
      <alignment horizontal="center" vertical="center"/>
    </xf>
    <xf numFmtId="38" fontId="16" fillId="0" borderId="15" xfId="42" quotePrefix="1" applyFont="1" applyBorder="1" applyAlignment="1">
      <alignment horizontal="center" vertical="center"/>
    </xf>
    <xf numFmtId="38" fontId="11" fillId="0" borderId="15" xfId="42" quotePrefix="1" applyFont="1" applyBorder="1" applyAlignment="1">
      <alignment horizontal="center" vertical="center"/>
    </xf>
    <xf numFmtId="38" fontId="11" fillId="0" borderId="15" xfId="42" applyFont="1" applyBorder="1" applyAlignment="1">
      <alignment horizontal="center" vertical="center"/>
    </xf>
    <xf numFmtId="38" fontId="11" fillId="0" borderId="10" xfId="42" applyFont="1" applyBorder="1" applyAlignment="1">
      <alignment horizontal="center" vertical="center"/>
    </xf>
    <xf numFmtId="38" fontId="16" fillId="0" borderId="2" xfId="42" applyFont="1" applyBorder="1">
      <alignment vertical="center"/>
    </xf>
    <xf numFmtId="38" fontId="11" fillId="0" borderId="2" xfId="42" applyFont="1" applyBorder="1">
      <alignment vertical="center"/>
    </xf>
    <xf numFmtId="38" fontId="16" fillId="0" borderId="0" xfId="42" applyFont="1" applyBorder="1">
      <alignment vertical="center"/>
    </xf>
    <xf numFmtId="38" fontId="16" fillId="0" borderId="7" xfId="42" applyFont="1" applyBorder="1">
      <alignment vertical="center"/>
    </xf>
    <xf numFmtId="177" fontId="16" fillId="0" borderId="25" xfId="42" quotePrefix="1" applyNumberFormat="1" applyFont="1" applyBorder="1" applyAlignment="1">
      <alignment horizontal="center" vertical="center"/>
    </xf>
    <xf numFmtId="38" fontId="16" fillId="0" borderId="26" xfId="42" applyFont="1" applyBorder="1">
      <alignment vertical="center"/>
    </xf>
    <xf numFmtId="38" fontId="11" fillId="0" borderId="26" xfId="42" applyFont="1" applyBorder="1">
      <alignment vertical="center"/>
    </xf>
    <xf numFmtId="38" fontId="16" fillId="0" borderId="27" xfId="42" applyFont="1" applyBorder="1">
      <alignment vertical="center"/>
    </xf>
    <xf numFmtId="0" fontId="1" fillId="0" borderId="8" xfId="41" applyBorder="1">
      <alignment vertical="center"/>
    </xf>
    <xf numFmtId="38" fontId="1" fillId="36" borderId="0" xfId="42" applyFont="1" applyFill="1" applyBorder="1">
      <alignment vertical="center"/>
    </xf>
  </cellXfs>
  <cellStyles count="55">
    <cellStyle name="20% - アクセント 1" xfId="24" builtinId="30" customBuiltin="1"/>
    <cellStyle name="20% - アクセント 2" xfId="27" builtinId="34" customBuiltin="1"/>
    <cellStyle name="20% - アクセント 3" xfId="30" builtinId="38" customBuiltin="1"/>
    <cellStyle name="20% - アクセント 4" xfId="33" builtinId="42" customBuiltin="1"/>
    <cellStyle name="20% - アクセント 5" xfId="36" builtinId="46" customBuiltin="1"/>
    <cellStyle name="20% - アクセント 6" xfId="39" builtinId="50" customBuiltin="1"/>
    <cellStyle name="40% - アクセント 1" xfId="25" builtinId="31" customBuiltin="1"/>
    <cellStyle name="40% - アクセント 2" xfId="28" builtinId="35" customBuiltin="1"/>
    <cellStyle name="40% - アクセント 3" xfId="31" builtinId="39" customBuiltin="1"/>
    <cellStyle name="40% - アクセント 4" xfId="34" builtinId="43" customBuiltin="1"/>
    <cellStyle name="40% - アクセント 5" xfId="37" builtinId="47" customBuiltin="1"/>
    <cellStyle name="40% - アクセント 6" xfId="40" builtinId="51" customBuiltin="1"/>
    <cellStyle name="60% - アクセント 1 2" xfId="46" xr:uid="{BB267050-07EB-47E8-962F-7091AB1B06A1}"/>
    <cellStyle name="60% - アクセント 2 2" xfId="47" xr:uid="{E2706778-B5B9-4432-91F2-7B82EFB939A2}"/>
    <cellStyle name="60% - アクセント 3 2" xfId="48" xr:uid="{1F675011-91E1-4B81-B222-3A954FF4AF44}"/>
    <cellStyle name="60% - アクセント 4 2" xfId="49" xr:uid="{354300B5-3808-4DA2-A6E8-9FE5816538E4}"/>
    <cellStyle name="60% - アクセント 5 2" xfId="50" xr:uid="{9A9D2F18-98A1-48DB-9CF4-C1D193AB7F25}"/>
    <cellStyle name="60% - アクセント 6 2" xfId="51" xr:uid="{80C93EEF-0AE0-46E6-BB02-1409F14CD9B1}"/>
    <cellStyle name="アクセント 1" xfId="23" builtinId="29" customBuiltin="1"/>
    <cellStyle name="アクセント 2" xfId="26" builtinId="33" customBuiltin="1"/>
    <cellStyle name="アクセント 3" xfId="29" builtinId="37" customBuiltin="1"/>
    <cellStyle name="アクセント 4" xfId="32" builtinId="41" customBuiltin="1"/>
    <cellStyle name="アクセント 5" xfId="35" builtinId="45" customBuiltin="1"/>
    <cellStyle name="アクセント 6" xfId="38" builtinId="49" customBuiltin="1"/>
    <cellStyle name="タイトル" xfId="8" builtinId="15" customBuiltin="1"/>
    <cellStyle name="チェック セル" xfId="19" builtinId="23" customBuiltin="1"/>
    <cellStyle name="どちらでもない 2" xfId="44" xr:uid="{1B07F457-2720-4768-9C32-1CF8CD750D8D}"/>
    <cellStyle name="パーセント" xfId="3" builtinId="5"/>
    <cellStyle name="パーセント 2" xfId="43" xr:uid="{DF6603AC-5D5B-431E-86E8-BA455F2E8EC2}"/>
    <cellStyle name="メモ 2" xfId="45" xr:uid="{A20EFA6A-9D0B-46BD-9020-C52D963E58E7}"/>
    <cellStyle name="リンク セル" xfId="18" builtinId="24" customBuiltin="1"/>
    <cellStyle name="悪い" xfId="14" builtinId="27" customBuiltin="1"/>
    <cellStyle name="計算" xfId="17" builtinId="22" customBuiltin="1"/>
    <cellStyle name="警告文" xfId="20" builtinId="11" customBuiltin="1"/>
    <cellStyle name="桁区切り" xfId="1" builtinId="6"/>
    <cellStyle name="桁区切り 2" xfId="53" xr:uid="{78E07949-753B-4CCF-B023-80140EADAE0B}"/>
    <cellStyle name="桁区切り 3" xfId="42" xr:uid="{E7F7462B-6F61-4846-837C-9235CFEEEAE9}"/>
    <cellStyle name="桁区切り 4" xfId="5" xr:uid="{00000000-0005-0000-0000-000002000000}"/>
    <cellStyle name="桁区切り 4 2" xfId="7" xr:uid="{00000000-0005-0000-0000-000003000000}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集計" xfId="22" builtinId="25" customBuiltin="1"/>
    <cellStyle name="出力" xfId="16" builtinId="21" customBuiltin="1"/>
    <cellStyle name="説明文" xfId="21" builtinId="53" customBuiltin="1"/>
    <cellStyle name="入力" xfId="15" builtinId="20" customBuiltin="1"/>
    <cellStyle name="標準" xfId="0" builtinId="0"/>
    <cellStyle name="標準 2" xfId="54" xr:uid="{F56B6E3D-C333-4F46-87CB-61BA5598E4D5}"/>
    <cellStyle name="標準 3" xfId="2" xr:uid="{00000000-0005-0000-0000-000005000000}"/>
    <cellStyle name="標準 3 2" xfId="52" xr:uid="{8E89A859-CCD6-4220-A498-D8A4E0E6FC76}"/>
    <cellStyle name="標準 4" xfId="4" xr:uid="{00000000-0005-0000-0000-000006000000}"/>
    <cellStyle name="標準 4 2" xfId="6" xr:uid="{00000000-0005-0000-0000-000007000000}"/>
    <cellStyle name="標準 5" xfId="41" xr:uid="{1FB1FC52-D06E-4EDC-9087-3174E66A4C01}"/>
    <cellStyle name="良い" xfId="13" builtinId="26" customBuiltin="1"/>
  </cellStyles>
  <dxfs count="2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17650028420943E-2"/>
          <c:y val="8.4259990464507037E-2"/>
          <c:w val="0.91037678765868002"/>
          <c:h val="0.858474314085212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きゅうり!$A$36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きゅうり!$B$35:$AR$35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きゅうり!$B$36:$AR$36</c:f>
              <c:numCache>
                <c:formatCode>#,##0_);[Red]\(#,##0\)</c:formatCode>
                <c:ptCount val="43"/>
                <c:pt idx="0">
                  <c:v>364.892</c:v>
                </c:pt>
                <c:pt idx="1">
                  <c:v>215.78899999999999</c:v>
                </c:pt>
                <c:pt idx="2">
                  <c:v>331.685</c:v>
                </c:pt>
                <c:pt idx="3">
                  <c:v>178.3</c:v>
                </c:pt>
                <c:pt idx="4">
                  <c:v>158.54900000000001</c:v>
                </c:pt>
                <c:pt idx="5">
                  <c:v>269.68200000000002</c:v>
                </c:pt>
                <c:pt idx="6">
                  <c:v>185.02500000000001</c:v>
                </c:pt>
                <c:pt idx="7">
                  <c:v>300.01600000000002</c:v>
                </c:pt>
                <c:pt idx="8">
                  <c:v>151.18</c:v>
                </c:pt>
                <c:pt idx="9">
                  <c:v>173.56399999999999</c:v>
                </c:pt>
                <c:pt idx="10">
                  <c:v>311.334</c:v>
                </c:pt>
                <c:pt idx="11">
                  <c:v>188.864</c:v>
                </c:pt>
                <c:pt idx="12">
                  <c:v>326.04500000000002</c:v>
                </c:pt>
                <c:pt idx="13">
                  <c:v>197.38300000000001</c:v>
                </c:pt>
                <c:pt idx="14">
                  <c:v>219.44200000000001</c:v>
                </c:pt>
                <c:pt idx="15">
                  <c:v>344.89299999999997</c:v>
                </c:pt>
                <c:pt idx="16">
                  <c:v>162.637</c:v>
                </c:pt>
                <c:pt idx="17">
                  <c:v>256.74599999999998</c:v>
                </c:pt>
                <c:pt idx="18">
                  <c:v>138.20500000000001</c:v>
                </c:pt>
                <c:pt idx="19">
                  <c:v>149.22999999999999</c:v>
                </c:pt>
                <c:pt idx="20">
                  <c:v>240.3</c:v>
                </c:pt>
                <c:pt idx="21">
                  <c:v>141.001</c:v>
                </c:pt>
                <c:pt idx="22">
                  <c:v>280.601</c:v>
                </c:pt>
                <c:pt idx="23">
                  <c:v>141.12700000000001</c:v>
                </c:pt>
                <c:pt idx="24">
                  <c:v>137.452</c:v>
                </c:pt>
                <c:pt idx="25">
                  <c:v>214.453</c:v>
                </c:pt>
                <c:pt idx="26">
                  <c:v>164.29599999999999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6-4EAE-B053-41CCCB1A4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きゅうり!$A$37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きゅうり!$B$35:$AR$35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きゅうり!$B$37:$AR$37</c:f>
              <c:numCache>
                <c:formatCode>#,##0_);[Red]\(#,##0\)</c:formatCode>
                <c:ptCount val="43"/>
                <c:pt idx="0">
                  <c:v>255</c:v>
                </c:pt>
                <c:pt idx="1">
                  <c:v>256</c:v>
                </c:pt>
                <c:pt idx="2">
                  <c:v>254</c:v>
                </c:pt>
                <c:pt idx="3">
                  <c:v>266</c:v>
                </c:pt>
                <c:pt idx="4">
                  <c:v>295</c:v>
                </c:pt>
                <c:pt idx="5">
                  <c:v>332</c:v>
                </c:pt>
                <c:pt idx="6">
                  <c:v>347</c:v>
                </c:pt>
                <c:pt idx="7">
                  <c:v>349</c:v>
                </c:pt>
                <c:pt idx="8">
                  <c:v>353</c:v>
                </c:pt>
                <c:pt idx="9">
                  <c:v>355</c:v>
                </c:pt>
                <c:pt idx="10">
                  <c:v>362</c:v>
                </c:pt>
                <c:pt idx="11">
                  <c:v>367</c:v>
                </c:pt>
                <c:pt idx="12">
                  <c:v>372</c:v>
                </c:pt>
                <c:pt idx="13">
                  <c:v>375</c:v>
                </c:pt>
                <c:pt idx="14">
                  <c:v>370</c:v>
                </c:pt>
                <c:pt idx="15">
                  <c:v>367</c:v>
                </c:pt>
                <c:pt idx="16">
                  <c:v>370</c:v>
                </c:pt>
                <c:pt idx="17">
                  <c:v>366</c:v>
                </c:pt>
                <c:pt idx="18">
                  <c:v>374</c:v>
                </c:pt>
                <c:pt idx="19">
                  <c:v>376</c:v>
                </c:pt>
                <c:pt idx="20">
                  <c:v>389</c:v>
                </c:pt>
                <c:pt idx="21">
                  <c:v>399</c:v>
                </c:pt>
                <c:pt idx="22">
                  <c:v>400</c:v>
                </c:pt>
                <c:pt idx="23">
                  <c:v>413</c:v>
                </c:pt>
                <c:pt idx="24">
                  <c:v>438</c:v>
                </c:pt>
                <c:pt idx="25">
                  <c:v>478</c:v>
                </c:pt>
                <c:pt idx="26">
                  <c:v>494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6-4EAE-B053-41CCCB1A4CF7}"/>
            </c:ext>
          </c:extLst>
        </c:ser>
        <c:ser>
          <c:idx val="2"/>
          <c:order val="2"/>
          <c:tx>
            <c:strRef>
              <c:f>きゅうり!$A$38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きゅうり!$B$35:$AR$35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きゅうり!$B$38:$AR$38</c:f>
              <c:numCache>
                <c:formatCode>#,##0_);[Red]\(#,##0\)</c:formatCode>
                <c:ptCount val="43"/>
                <c:pt idx="0">
                  <c:v>268</c:v>
                </c:pt>
                <c:pt idx="1">
                  <c:v>268</c:v>
                </c:pt>
                <c:pt idx="2">
                  <c:v>268</c:v>
                </c:pt>
                <c:pt idx="3">
                  <c:v>268</c:v>
                </c:pt>
                <c:pt idx="4">
                  <c:v>268</c:v>
                </c:pt>
                <c:pt idx="5">
                  <c:v>268</c:v>
                </c:pt>
                <c:pt idx="6">
                  <c:v>268</c:v>
                </c:pt>
                <c:pt idx="7">
                  <c:v>261</c:v>
                </c:pt>
                <c:pt idx="8">
                  <c:v>261</c:v>
                </c:pt>
                <c:pt idx="9">
                  <c:v>261</c:v>
                </c:pt>
                <c:pt idx="10">
                  <c:v>261</c:v>
                </c:pt>
                <c:pt idx="11">
                  <c:v>261</c:v>
                </c:pt>
                <c:pt idx="12">
                  <c:v>261</c:v>
                </c:pt>
                <c:pt idx="13">
                  <c:v>261</c:v>
                </c:pt>
                <c:pt idx="14">
                  <c:v>261</c:v>
                </c:pt>
                <c:pt idx="15">
                  <c:v>261</c:v>
                </c:pt>
                <c:pt idx="16">
                  <c:v>261</c:v>
                </c:pt>
                <c:pt idx="17">
                  <c:v>261</c:v>
                </c:pt>
                <c:pt idx="18">
                  <c:v>261</c:v>
                </c:pt>
                <c:pt idx="19">
                  <c:v>261</c:v>
                </c:pt>
                <c:pt idx="20">
                  <c:v>261</c:v>
                </c:pt>
                <c:pt idx="21">
                  <c:v>261</c:v>
                </c:pt>
                <c:pt idx="22">
                  <c:v>287</c:v>
                </c:pt>
                <c:pt idx="23">
                  <c:v>287</c:v>
                </c:pt>
                <c:pt idx="24">
                  <c:v>287</c:v>
                </c:pt>
                <c:pt idx="25">
                  <c:v>287</c:v>
                </c:pt>
                <c:pt idx="26">
                  <c:v>287</c:v>
                </c:pt>
                <c:pt idx="27">
                  <c:v>287</c:v>
                </c:pt>
                <c:pt idx="28">
                  <c:v>287</c:v>
                </c:pt>
                <c:pt idx="29">
                  <c:v>314</c:v>
                </c:pt>
                <c:pt idx="30">
                  <c:v>314</c:v>
                </c:pt>
                <c:pt idx="31">
                  <c:v>314</c:v>
                </c:pt>
                <c:pt idx="32">
                  <c:v>314</c:v>
                </c:pt>
                <c:pt idx="33">
                  <c:v>314</c:v>
                </c:pt>
                <c:pt idx="34">
                  <c:v>314</c:v>
                </c:pt>
                <c:pt idx="35">
                  <c:v>291</c:v>
                </c:pt>
                <c:pt idx="36">
                  <c:v>291</c:v>
                </c:pt>
                <c:pt idx="37">
                  <c:v>291</c:v>
                </c:pt>
                <c:pt idx="38">
                  <c:v>291</c:v>
                </c:pt>
                <c:pt idx="39">
                  <c:v>291</c:v>
                </c:pt>
                <c:pt idx="40">
                  <c:v>291</c:v>
                </c:pt>
                <c:pt idx="41">
                  <c:v>291</c:v>
                </c:pt>
                <c:pt idx="42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46-4EAE-B053-41CCCB1A4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595824"/>
        <c:axId val="1"/>
      </c:lineChart>
      <c:catAx>
        <c:axId val="958595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859582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54378082325771"/>
          <c:y val="8.3699994791202605E-4"/>
          <c:w val="0.26901024362863418"/>
          <c:h val="8.0819190249449543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642009034584964E-2"/>
          <c:y val="8.4457701772527607E-2"/>
          <c:w val="0.91494132472823742"/>
          <c:h val="0.86503282985755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きゅうり!$A$76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きゅうり!$B$75:$AR$75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きゅうり!$B$76:$AR$76</c:f>
              <c:numCache>
                <c:formatCode>#,##0_);[Red]\(#,##0\)</c:formatCode>
                <c:ptCount val="43"/>
                <c:pt idx="0">
                  <c:v>84.772999999999996</c:v>
                </c:pt>
                <c:pt idx="1">
                  <c:v>72.381</c:v>
                </c:pt>
                <c:pt idx="2">
                  <c:v>79.921999999999997</c:v>
                </c:pt>
                <c:pt idx="3">
                  <c:v>50.75</c:v>
                </c:pt>
                <c:pt idx="4">
                  <c:v>57.715000000000003</c:v>
                </c:pt>
                <c:pt idx="5">
                  <c:v>66.613</c:v>
                </c:pt>
                <c:pt idx="6">
                  <c:v>60.658000000000001</c:v>
                </c:pt>
                <c:pt idx="7">
                  <c:v>64.84</c:v>
                </c:pt>
                <c:pt idx="8">
                  <c:v>41.43</c:v>
                </c:pt>
                <c:pt idx="9">
                  <c:v>57.104999999999997</c:v>
                </c:pt>
                <c:pt idx="10">
                  <c:v>56.421999999999997</c:v>
                </c:pt>
                <c:pt idx="11">
                  <c:v>49.655999999999999</c:v>
                </c:pt>
                <c:pt idx="12">
                  <c:v>83.947999999999993</c:v>
                </c:pt>
                <c:pt idx="13">
                  <c:v>51.597999999999999</c:v>
                </c:pt>
                <c:pt idx="14">
                  <c:v>49.203000000000003</c:v>
                </c:pt>
                <c:pt idx="15">
                  <c:v>89.397000000000006</c:v>
                </c:pt>
                <c:pt idx="16">
                  <c:v>49.215000000000003</c:v>
                </c:pt>
                <c:pt idx="17">
                  <c:v>75.861000000000004</c:v>
                </c:pt>
                <c:pt idx="18">
                  <c:v>40.590000000000003</c:v>
                </c:pt>
                <c:pt idx="19">
                  <c:v>47.905999999999999</c:v>
                </c:pt>
                <c:pt idx="20">
                  <c:v>53.817999999999998</c:v>
                </c:pt>
                <c:pt idx="21">
                  <c:v>34.881</c:v>
                </c:pt>
                <c:pt idx="22">
                  <c:v>63.262</c:v>
                </c:pt>
                <c:pt idx="23">
                  <c:v>39.116</c:v>
                </c:pt>
                <c:pt idx="24">
                  <c:v>36.332000000000001</c:v>
                </c:pt>
                <c:pt idx="25">
                  <c:v>51.671999999999997</c:v>
                </c:pt>
                <c:pt idx="26">
                  <c:v>36.747999999999998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3-4162-8ED0-8C7D6AAD7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きゅうり!$A$77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きゅうり!$B$75:$AR$75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きゅうり!$B$77:$AR$77</c:f>
              <c:numCache>
                <c:formatCode>#,##0_);[Red]\(#,##0\)</c:formatCode>
                <c:ptCount val="43"/>
                <c:pt idx="0">
                  <c:v>292</c:v>
                </c:pt>
                <c:pt idx="1">
                  <c:v>278</c:v>
                </c:pt>
                <c:pt idx="2">
                  <c:v>275</c:v>
                </c:pt>
                <c:pt idx="3">
                  <c:v>289</c:v>
                </c:pt>
                <c:pt idx="4">
                  <c:v>307</c:v>
                </c:pt>
                <c:pt idx="5">
                  <c:v>310</c:v>
                </c:pt>
                <c:pt idx="6">
                  <c:v>332</c:v>
                </c:pt>
                <c:pt idx="7">
                  <c:v>312</c:v>
                </c:pt>
                <c:pt idx="8">
                  <c:v>325</c:v>
                </c:pt>
                <c:pt idx="9">
                  <c:v>310</c:v>
                </c:pt>
                <c:pt idx="10">
                  <c:v>336</c:v>
                </c:pt>
                <c:pt idx="11">
                  <c:v>353</c:v>
                </c:pt>
                <c:pt idx="12">
                  <c:v>348</c:v>
                </c:pt>
                <c:pt idx="13">
                  <c:v>338</c:v>
                </c:pt>
                <c:pt idx="14">
                  <c:v>360</c:v>
                </c:pt>
                <c:pt idx="15">
                  <c:v>353</c:v>
                </c:pt>
                <c:pt idx="16">
                  <c:v>334</c:v>
                </c:pt>
                <c:pt idx="17">
                  <c:v>368</c:v>
                </c:pt>
                <c:pt idx="18">
                  <c:v>358</c:v>
                </c:pt>
                <c:pt idx="19">
                  <c:v>386</c:v>
                </c:pt>
                <c:pt idx="20">
                  <c:v>394</c:v>
                </c:pt>
                <c:pt idx="21">
                  <c:v>426</c:v>
                </c:pt>
                <c:pt idx="22">
                  <c:v>404</c:v>
                </c:pt>
                <c:pt idx="23">
                  <c:v>412</c:v>
                </c:pt>
                <c:pt idx="24">
                  <c:v>421</c:v>
                </c:pt>
                <c:pt idx="25">
                  <c:v>438</c:v>
                </c:pt>
                <c:pt idx="26">
                  <c:v>449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3-4162-8ED0-8C7D6AAD7AD6}"/>
            </c:ext>
          </c:extLst>
        </c:ser>
        <c:ser>
          <c:idx val="2"/>
          <c:order val="2"/>
          <c:tx>
            <c:strRef>
              <c:f>きゅうり!$A$78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きゅうり!$B$75:$AR$75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きゅうり!$B$78:$AR$78</c:f>
              <c:numCache>
                <c:formatCode>#,##0_);[Red]\(#,##0\)</c:formatCode>
                <c:ptCount val="43"/>
                <c:pt idx="0">
                  <c:v>269</c:v>
                </c:pt>
                <c:pt idx="1">
                  <c:v>269</c:v>
                </c:pt>
                <c:pt idx="2">
                  <c:v>269</c:v>
                </c:pt>
                <c:pt idx="3">
                  <c:v>269</c:v>
                </c:pt>
                <c:pt idx="4">
                  <c:v>269</c:v>
                </c:pt>
                <c:pt idx="5">
                  <c:v>269</c:v>
                </c:pt>
                <c:pt idx="6">
                  <c:v>269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275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285</c:v>
                </c:pt>
                <c:pt idx="23">
                  <c:v>285</c:v>
                </c:pt>
                <c:pt idx="24">
                  <c:v>285</c:v>
                </c:pt>
                <c:pt idx="25">
                  <c:v>285</c:v>
                </c:pt>
                <c:pt idx="26">
                  <c:v>285</c:v>
                </c:pt>
                <c:pt idx="27">
                  <c:v>285</c:v>
                </c:pt>
                <c:pt idx="28">
                  <c:v>285</c:v>
                </c:pt>
                <c:pt idx="29">
                  <c:v>322</c:v>
                </c:pt>
                <c:pt idx="30">
                  <c:v>322</c:v>
                </c:pt>
                <c:pt idx="31">
                  <c:v>322</c:v>
                </c:pt>
                <c:pt idx="32">
                  <c:v>322</c:v>
                </c:pt>
                <c:pt idx="33">
                  <c:v>322</c:v>
                </c:pt>
                <c:pt idx="34">
                  <c:v>322</c:v>
                </c:pt>
                <c:pt idx="35">
                  <c:v>308</c:v>
                </c:pt>
                <c:pt idx="36">
                  <c:v>308</c:v>
                </c:pt>
                <c:pt idx="37">
                  <c:v>308</c:v>
                </c:pt>
                <c:pt idx="38">
                  <c:v>308</c:v>
                </c:pt>
                <c:pt idx="39">
                  <c:v>308</c:v>
                </c:pt>
                <c:pt idx="40">
                  <c:v>308</c:v>
                </c:pt>
                <c:pt idx="41">
                  <c:v>308</c:v>
                </c:pt>
                <c:pt idx="42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C3-4162-8ED0-8C7D6AAD7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592912"/>
        <c:axId val="1"/>
      </c:lineChart>
      <c:catAx>
        <c:axId val="958592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8592912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801213593215042"/>
          <c:y val="3.9059834755854712E-3"/>
          <c:w val="0.26194128652911836"/>
          <c:h val="8.0322276859313993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85088851242992E-2"/>
          <c:y val="7.9970039682539684E-2"/>
          <c:w val="0.91004208291715427"/>
          <c:h val="0.862643186119068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きゅうり!$A$116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きゅうり!$B$115:$AR$115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きゅうり!$B$116:$AR$116</c:f>
              <c:numCache>
                <c:formatCode>#,##0_);[Red]\(#,##0\)</c:formatCode>
                <c:ptCount val="43"/>
                <c:pt idx="0">
                  <c:v>85.244</c:v>
                </c:pt>
                <c:pt idx="1">
                  <c:v>50.195999999999998</c:v>
                </c:pt>
                <c:pt idx="2">
                  <c:v>77.613</c:v>
                </c:pt>
                <c:pt idx="3">
                  <c:v>42.024999999999999</c:v>
                </c:pt>
                <c:pt idx="4">
                  <c:v>56.293999999999997</c:v>
                </c:pt>
                <c:pt idx="5">
                  <c:v>72.8</c:v>
                </c:pt>
                <c:pt idx="6">
                  <c:v>48.997</c:v>
                </c:pt>
                <c:pt idx="7">
                  <c:v>56.929000000000002</c:v>
                </c:pt>
                <c:pt idx="8">
                  <c:v>42.701000000000001</c:v>
                </c:pt>
                <c:pt idx="9">
                  <c:v>35.561</c:v>
                </c:pt>
                <c:pt idx="10">
                  <c:v>62.146999999999998</c:v>
                </c:pt>
                <c:pt idx="11">
                  <c:v>53.11</c:v>
                </c:pt>
                <c:pt idx="12">
                  <c:v>79.212999999999994</c:v>
                </c:pt>
                <c:pt idx="13">
                  <c:v>46.01</c:v>
                </c:pt>
                <c:pt idx="14">
                  <c:v>54.115000000000002</c:v>
                </c:pt>
                <c:pt idx="15">
                  <c:v>77.849000000000004</c:v>
                </c:pt>
                <c:pt idx="16">
                  <c:v>52.22</c:v>
                </c:pt>
                <c:pt idx="17">
                  <c:v>67.331999999999994</c:v>
                </c:pt>
                <c:pt idx="18">
                  <c:v>54.034999999999997</c:v>
                </c:pt>
                <c:pt idx="19">
                  <c:v>38.972000000000001</c:v>
                </c:pt>
                <c:pt idx="20">
                  <c:v>70.745000000000005</c:v>
                </c:pt>
                <c:pt idx="21">
                  <c:v>43.777000000000001</c:v>
                </c:pt>
                <c:pt idx="22">
                  <c:v>83.552999999999997</c:v>
                </c:pt>
                <c:pt idx="23">
                  <c:v>41.194000000000003</c:v>
                </c:pt>
                <c:pt idx="24">
                  <c:v>41.341000000000001</c:v>
                </c:pt>
                <c:pt idx="25">
                  <c:v>64.293999999999997</c:v>
                </c:pt>
                <c:pt idx="26">
                  <c:v>45.091999999999999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5-4307-990E-0A88887A0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きゅうり!$A$117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きゅうり!$B$115:$AR$115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きゅうり!$B$117:$AR$117</c:f>
              <c:numCache>
                <c:formatCode>#,##0_);[Red]\(#,##0\)</c:formatCode>
                <c:ptCount val="43"/>
                <c:pt idx="0">
                  <c:v>241</c:v>
                </c:pt>
                <c:pt idx="1">
                  <c:v>256</c:v>
                </c:pt>
                <c:pt idx="2">
                  <c:v>250</c:v>
                </c:pt>
                <c:pt idx="3">
                  <c:v>278</c:v>
                </c:pt>
                <c:pt idx="4">
                  <c:v>265</c:v>
                </c:pt>
                <c:pt idx="5">
                  <c:v>295</c:v>
                </c:pt>
                <c:pt idx="6">
                  <c:v>337</c:v>
                </c:pt>
                <c:pt idx="7">
                  <c:v>324</c:v>
                </c:pt>
                <c:pt idx="8">
                  <c:v>345</c:v>
                </c:pt>
                <c:pt idx="9">
                  <c:v>351</c:v>
                </c:pt>
                <c:pt idx="10">
                  <c:v>370</c:v>
                </c:pt>
                <c:pt idx="11">
                  <c:v>390</c:v>
                </c:pt>
                <c:pt idx="12">
                  <c:v>368</c:v>
                </c:pt>
                <c:pt idx="13">
                  <c:v>377</c:v>
                </c:pt>
                <c:pt idx="14">
                  <c:v>379</c:v>
                </c:pt>
                <c:pt idx="15">
                  <c:v>379</c:v>
                </c:pt>
                <c:pt idx="16">
                  <c:v>362</c:v>
                </c:pt>
                <c:pt idx="17">
                  <c:v>366</c:v>
                </c:pt>
                <c:pt idx="18">
                  <c:v>382</c:v>
                </c:pt>
                <c:pt idx="19">
                  <c:v>363</c:v>
                </c:pt>
                <c:pt idx="20">
                  <c:v>402</c:v>
                </c:pt>
                <c:pt idx="21">
                  <c:v>375</c:v>
                </c:pt>
                <c:pt idx="22">
                  <c:v>396</c:v>
                </c:pt>
                <c:pt idx="23">
                  <c:v>406</c:v>
                </c:pt>
                <c:pt idx="24">
                  <c:v>433</c:v>
                </c:pt>
                <c:pt idx="25">
                  <c:v>454</c:v>
                </c:pt>
                <c:pt idx="26">
                  <c:v>477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25-4307-990E-0A88887A0BD5}"/>
            </c:ext>
          </c:extLst>
        </c:ser>
        <c:ser>
          <c:idx val="2"/>
          <c:order val="2"/>
          <c:tx>
            <c:strRef>
              <c:f>きゅうり!$A$118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きゅうり!$B$115:$AR$115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きゅうり!$B$118:$AR$118</c:f>
              <c:numCache>
                <c:formatCode>#,##0_);[Red]\(#,##0\)</c:formatCode>
                <c:ptCount val="43"/>
                <c:pt idx="0">
                  <c:v>252</c:v>
                </c:pt>
                <c:pt idx="1">
                  <c:v>252</c:v>
                </c:pt>
                <c:pt idx="2">
                  <c:v>252</c:v>
                </c:pt>
                <c:pt idx="3">
                  <c:v>252</c:v>
                </c:pt>
                <c:pt idx="4">
                  <c:v>252</c:v>
                </c:pt>
                <c:pt idx="5">
                  <c:v>252</c:v>
                </c:pt>
                <c:pt idx="6">
                  <c:v>252</c:v>
                </c:pt>
                <c:pt idx="7">
                  <c:v>258</c:v>
                </c:pt>
                <c:pt idx="8">
                  <c:v>258</c:v>
                </c:pt>
                <c:pt idx="9">
                  <c:v>258</c:v>
                </c:pt>
                <c:pt idx="10">
                  <c:v>258</c:v>
                </c:pt>
                <c:pt idx="11">
                  <c:v>258</c:v>
                </c:pt>
                <c:pt idx="12">
                  <c:v>258</c:v>
                </c:pt>
                <c:pt idx="13">
                  <c:v>258</c:v>
                </c:pt>
                <c:pt idx="14">
                  <c:v>258</c:v>
                </c:pt>
                <c:pt idx="15">
                  <c:v>266</c:v>
                </c:pt>
                <c:pt idx="16">
                  <c:v>266</c:v>
                </c:pt>
                <c:pt idx="17">
                  <c:v>266</c:v>
                </c:pt>
                <c:pt idx="18">
                  <c:v>266</c:v>
                </c:pt>
                <c:pt idx="19">
                  <c:v>266</c:v>
                </c:pt>
                <c:pt idx="20">
                  <c:v>266</c:v>
                </c:pt>
                <c:pt idx="21">
                  <c:v>266</c:v>
                </c:pt>
                <c:pt idx="22">
                  <c:v>280</c:v>
                </c:pt>
                <c:pt idx="23">
                  <c:v>280</c:v>
                </c:pt>
                <c:pt idx="24">
                  <c:v>280</c:v>
                </c:pt>
                <c:pt idx="25">
                  <c:v>280</c:v>
                </c:pt>
                <c:pt idx="26">
                  <c:v>280</c:v>
                </c:pt>
                <c:pt idx="27">
                  <c:v>280</c:v>
                </c:pt>
                <c:pt idx="28">
                  <c:v>280</c:v>
                </c:pt>
                <c:pt idx="29">
                  <c:v>316</c:v>
                </c:pt>
                <c:pt idx="30">
                  <c:v>316</c:v>
                </c:pt>
                <c:pt idx="31">
                  <c:v>316</c:v>
                </c:pt>
                <c:pt idx="32">
                  <c:v>316</c:v>
                </c:pt>
                <c:pt idx="33">
                  <c:v>316</c:v>
                </c:pt>
                <c:pt idx="34">
                  <c:v>316</c:v>
                </c:pt>
                <c:pt idx="35">
                  <c:v>298</c:v>
                </c:pt>
                <c:pt idx="36">
                  <c:v>298</c:v>
                </c:pt>
                <c:pt idx="37">
                  <c:v>298</c:v>
                </c:pt>
                <c:pt idx="38">
                  <c:v>298</c:v>
                </c:pt>
                <c:pt idx="39">
                  <c:v>298</c:v>
                </c:pt>
                <c:pt idx="40">
                  <c:v>298</c:v>
                </c:pt>
                <c:pt idx="41">
                  <c:v>298</c:v>
                </c:pt>
                <c:pt idx="42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25-4307-990E-0A88887A0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594576"/>
        <c:axId val="1"/>
      </c:lineChart>
      <c:catAx>
        <c:axId val="958594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85945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127747743140225"/>
          <c:y val="3.885593781947094E-4"/>
          <c:w val="0.27032218167347771"/>
          <c:h val="6.8807307830997741E-2"/>
        </c:manualLayout>
      </c:layout>
      <c:overlay val="0"/>
      <c:txPr>
        <a:bodyPr/>
        <a:lstStyle/>
        <a:p>
          <a:pPr>
            <a:defRPr sz="12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444540661495414E-2"/>
          <c:y val="8.713028999832563E-2"/>
          <c:w val="0.9109427600700889"/>
          <c:h val="0.8620387250188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きゅうり!$A$156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きゅうり!$B$155:$AR$155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きゅうり!$B$156:$AR$156</c:f>
              <c:numCache>
                <c:formatCode>#,##0_);[Red]\(#,##0\)</c:formatCode>
                <c:ptCount val="43"/>
                <c:pt idx="0">
                  <c:v>64.113</c:v>
                </c:pt>
                <c:pt idx="1">
                  <c:v>59.838999999999999</c:v>
                </c:pt>
                <c:pt idx="2">
                  <c:v>74.662999999999997</c:v>
                </c:pt>
                <c:pt idx="3">
                  <c:v>41.732999999999997</c:v>
                </c:pt>
                <c:pt idx="4">
                  <c:v>45.334000000000003</c:v>
                </c:pt>
                <c:pt idx="5">
                  <c:v>59.482999999999997</c:v>
                </c:pt>
                <c:pt idx="6">
                  <c:v>60.131999999999998</c:v>
                </c:pt>
                <c:pt idx="7">
                  <c:v>65.484999999999999</c:v>
                </c:pt>
                <c:pt idx="8">
                  <c:v>38.594999999999999</c:v>
                </c:pt>
                <c:pt idx="9">
                  <c:v>37.481000000000002</c:v>
                </c:pt>
                <c:pt idx="10">
                  <c:v>50.825000000000003</c:v>
                </c:pt>
                <c:pt idx="11">
                  <c:v>52.823</c:v>
                </c:pt>
                <c:pt idx="12">
                  <c:v>68.974000000000004</c:v>
                </c:pt>
                <c:pt idx="13">
                  <c:v>51.991</c:v>
                </c:pt>
                <c:pt idx="14">
                  <c:v>51.707999999999998</c:v>
                </c:pt>
                <c:pt idx="15">
                  <c:v>60.540999999999997</c:v>
                </c:pt>
                <c:pt idx="16">
                  <c:v>53.165999999999997</c:v>
                </c:pt>
                <c:pt idx="17">
                  <c:v>43.801000000000002</c:v>
                </c:pt>
                <c:pt idx="18">
                  <c:v>30.773</c:v>
                </c:pt>
                <c:pt idx="19">
                  <c:v>26.771999999999998</c:v>
                </c:pt>
                <c:pt idx="20">
                  <c:v>24.652000000000001</c:v>
                </c:pt>
                <c:pt idx="21">
                  <c:v>26.21</c:v>
                </c:pt>
                <c:pt idx="22">
                  <c:v>39.715000000000003</c:v>
                </c:pt>
                <c:pt idx="23">
                  <c:v>26.248000000000001</c:v>
                </c:pt>
                <c:pt idx="24">
                  <c:v>29.308</c:v>
                </c:pt>
                <c:pt idx="25">
                  <c:v>37.173999999999999</c:v>
                </c:pt>
                <c:pt idx="26">
                  <c:v>42.716000000000001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1-4EDB-8769-B3B54A198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きゅうり!$A$157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きゅうり!$B$155:$AR$155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きゅうり!$B$157:$AR$157</c:f>
              <c:numCache>
                <c:formatCode>#,##0_);[Red]\(#,##0\)</c:formatCode>
                <c:ptCount val="43"/>
                <c:pt idx="0">
                  <c:v>214</c:v>
                </c:pt>
                <c:pt idx="1">
                  <c:v>227</c:v>
                </c:pt>
                <c:pt idx="2">
                  <c:v>233</c:v>
                </c:pt>
                <c:pt idx="3">
                  <c:v>247</c:v>
                </c:pt>
                <c:pt idx="4">
                  <c:v>255</c:v>
                </c:pt>
                <c:pt idx="5">
                  <c:v>277</c:v>
                </c:pt>
                <c:pt idx="6">
                  <c:v>277</c:v>
                </c:pt>
                <c:pt idx="7">
                  <c:v>294</c:v>
                </c:pt>
                <c:pt idx="8">
                  <c:v>292</c:v>
                </c:pt>
                <c:pt idx="9">
                  <c:v>343</c:v>
                </c:pt>
                <c:pt idx="10">
                  <c:v>354</c:v>
                </c:pt>
                <c:pt idx="11">
                  <c:v>360</c:v>
                </c:pt>
                <c:pt idx="12">
                  <c:v>347</c:v>
                </c:pt>
                <c:pt idx="13">
                  <c:v>336</c:v>
                </c:pt>
                <c:pt idx="14">
                  <c:v>327</c:v>
                </c:pt>
                <c:pt idx="15">
                  <c:v>314</c:v>
                </c:pt>
                <c:pt idx="16">
                  <c:v>314</c:v>
                </c:pt>
                <c:pt idx="17">
                  <c:v>339</c:v>
                </c:pt>
                <c:pt idx="18">
                  <c:v>347</c:v>
                </c:pt>
                <c:pt idx="19">
                  <c:v>373</c:v>
                </c:pt>
                <c:pt idx="20">
                  <c:v>394</c:v>
                </c:pt>
                <c:pt idx="21">
                  <c:v>399</c:v>
                </c:pt>
                <c:pt idx="22">
                  <c:v>421</c:v>
                </c:pt>
                <c:pt idx="23">
                  <c:v>428</c:v>
                </c:pt>
                <c:pt idx="24">
                  <c:v>464</c:v>
                </c:pt>
                <c:pt idx="25">
                  <c:v>489</c:v>
                </c:pt>
                <c:pt idx="26">
                  <c:v>499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1-4EDB-8769-B3B54A198ABA}"/>
            </c:ext>
          </c:extLst>
        </c:ser>
        <c:ser>
          <c:idx val="2"/>
          <c:order val="2"/>
          <c:tx>
            <c:strRef>
              <c:f>きゅうり!$A$158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きゅうり!$B$155:$AR$155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きゅうり!$B$158:$AR$158</c:f>
              <c:numCache>
                <c:formatCode>#,##0_);[Red]\(#,##0\)</c:formatCode>
                <c:ptCount val="43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198</c:v>
                </c:pt>
                <c:pt idx="8">
                  <c:v>198</c:v>
                </c:pt>
                <c:pt idx="9">
                  <c:v>198</c:v>
                </c:pt>
                <c:pt idx="10">
                  <c:v>198</c:v>
                </c:pt>
                <c:pt idx="11">
                  <c:v>198</c:v>
                </c:pt>
                <c:pt idx="12">
                  <c:v>198</c:v>
                </c:pt>
                <c:pt idx="13">
                  <c:v>198</c:v>
                </c:pt>
                <c:pt idx="14">
                  <c:v>198</c:v>
                </c:pt>
                <c:pt idx="15">
                  <c:v>201</c:v>
                </c:pt>
                <c:pt idx="16">
                  <c:v>201</c:v>
                </c:pt>
                <c:pt idx="17">
                  <c:v>201</c:v>
                </c:pt>
                <c:pt idx="18">
                  <c:v>201</c:v>
                </c:pt>
                <c:pt idx="19">
                  <c:v>201</c:v>
                </c:pt>
                <c:pt idx="20">
                  <c:v>201</c:v>
                </c:pt>
                <c:pt idx="21">
                  <c:v>201</c:v>
                </c:pt>
                <c:pt idx="22">
                  <c:v>252</c:v>
                </c:pt>
                <c:pt idx="23">
                  <c:v>252</c:v>
                </c:pt>
                <c:pt idx="24">
                  <c:v>252</c:v>
                </c:pt>
                <c:pt idx="25">
                  <c:v>252</c:v>
                </c:pt>
                <c:pt idx="26">
                  <c:v>252</c:v>
                </c:pt>
                <c:pt idx="27">
                  <c:v>252</c:v>
                </c:pt>
                <c:pt idx="28">
                  <c:v>252</c:v>
                </c:pt>
                <c:pt idx="29">
                  <c:v>308</c:v>
                </c:pt>
                <c:pt idx="30">
                  <c:v>308</c:v>
                </c:pt>
                <c:pt idx="31">
                  <c:v>308</c:v>
                </c:pt>
                <c:pt idx="32">
                  <c:v>308</c:v>
                </c:pt>
                <c:pt idx="33">
                  <c:v>308</c:v>
                </c:pt>
                <c:pt idx="34">
                  <c:v>308</c:v>
                </c:pt>
                <c:pt idx="35">
                  <c:v>303</c:v>
                </c:pt>
                <c:pt idx="36">
                  <c:v>303</c:v>
                </c:pt>
                <c:pt idx="37">
                  <c:v>303</c:v>
                </c:pt>
                <c:pt idx="38">
                  <c:v>303</c:v>
                </c:pt>
                <c:pt idx="39">
                  <c:v>303</c:v>
                </c:pt>
                <c:pt idx="40">
                  <c:v>303</c:v>
                </c:pt>
                <c:pt idx="41">
                  <c:v>303</c:v>
                </c:pt>
                <c:pt idx="42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91-4EDB-8769-B3B54A198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09616"/>
        <c:axId val="1"/>
      </c:lineChart>
      <c:catAx>
        <c:axId val="963009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6300961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546141262244012"/>
          <c:y val="1.1531872204039546E-3"/>
          <c:w val="0.27964294016943031"/>
          <c:h val="7.0636207525833036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13615114612143E-2"/>
          <c:y val="0.10340217751941551"/>
          <c:w val="0.91106804276400677"/>
          <c:h val="0.84989571137532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トマト!$A$76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トマト!$B$75:$AR$75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トマト!$B$76:$AR$76</c:f>
              <c:numCache>
                <c:formatCode>#,##0_);[Red]\(#,##0\)</c:formatCode>
                <c:ptCount val="43"/>
                <c:pt idx="0">
                  <c:v>92.629000000000005</c:v>
                </c:pt>
                <c:pt idx="1">
                  <c:v>58.246000000000002</c:v>
                </c:pt>
                <c:pt idx="2">
                  <c:v>105.395</c:v>
                </c:pt>
                <c:pt idx="3">
                  <c:v>59.838999999999999</c:v>
                </c:pt>
                <c:pt idx="4">
                  <c:v>70.195999999999998</c:v>
                </c:pt>
                <c:pt idx="5">
                  <c:v>93.37</c:v>
                </c:pt>
                <c:pt idx="6">
                  <c:v>56.256999999999998</c:v>
                </c:pt>
                <c:pt idx="7">
                  <c:v>81.138000000000005</c:v>
                </c:pt>
                <c:pt idx="8">
                  <c:v>47.031999999999996</c:v>
                </c:pt>
                <c:pt idx="9">
                  <c:v>58.368000000000002</c:v>
                </c:pt>
                <c:pt idx="10">
                  <c:v>70.992999999999995</c:v>
                </c:pt>
                <c:pt idx="11">
                  <c:v>54.74</c:v>
                </c:pt>
                <c:pt idx="12">
                  <c:v>103.652</c:v>
                </c:pt>
                <c:pt idx="13">
                  <c:v>48.646000000000001</c:v>
                </c:pt>
                <c:pt idx="14">
                  <c:v>58.606000000000002</c:v>
                </c:pt>
                <c:pt idx="15">
                  <c:v>70.209999999999994</c:v>
                </c:pt>
                <c:pt idx="16">
                  <c:v>61.85</c:v>
                </c:pt>
                <c:pt idx="17">
                  <c:v>88.671999999999997</c:v>
                </c:pt>
                <c:pt idx="18">
                  <c:v>40.61</c:v>
                </c:pt>
                <c:pt idx="19">
                  <c:v>52.890999999999998</c:v>
                </c:pt>
                <c:pt idx="20">
                  <c:v>48.356000000000002</c:v>
                </c:pt>
                <c:pt idx="21">
                  <c:v>58.238</c:v>
                </c:pt>
                <c:pt idx="22">
                  <c:v>49.356000000000002</c:v>
                </c:pt>
                <c:pt idx="23">
                  <c:v>23.661000000000001</c:v>
                </c:pt>
                <c:pt idx="24">
                  <c:v>43.16</c:v>
                </c:pt>
                <c:pt idx="25">
                  <c:v>40.402000000000001</c:v>
                </c:pt>
                <c:pt idx="26">
                  <c:v>50.125999999999998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3-421F-9B96-8E878EAE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トマト!$A$77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トマト!$B$75:$AR$75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トマト!$B$77:$AR$77</c:f>
              <c:numCache>
                <c:formatCode>#,##0_);[Red]\(#,##0\)</c:formatCode>
                <c:ptCount val="43"/>
                <c:pt idx="0">
                  <c:v>330</c:v>
                </c:pt>
                <c:pt idx="1">
                  <c:v>337</c:v>
                </c:pt>
                <c:pt idx="2">
                  <c:v>330</c:v>
                </c:pt>
                <c:pt idx="3">
                  <c:v>335</c:v>
                </c:pt>
                <c:pt idx="4">
                  <c:v>341</c:v>
                </c:pt>
                <c:pt idx="5">
                  <c:v>333</c:v>
                </c:pt>
                <c:pt idx="6">
                  <c:v>348</c:v>
                </c:pt>
                <c:pt idx="7">
                  <c:v>343</c:v>
                </c:pt>
                <c:pt idx="8">
                  <c:v>347</c:v>
                </c:pt>
                <c:pt idx="9">
                  <c:v>357</c:v>
                </c:pt>
                <c:pt idx="10">
                  <c:v>365</c:v>
                </c:pt>
                <c:pt idx="11">
                  <c:v>418</c:v>
                </c:pt>
                <c:pt idx="12">
                  <c:v>401</c:v>
                </c:pt>
                <c:pt idx="13">
                  <c:v>384</c:v>
                </c:pt>
                <c:pt idx="14">
                  <c:v>393</c:v>
                </c:pt>
                <c:pt idx="15">
                  <c:v>379</c:v>
                </c:pt>
                <c:pt idx="16">
                  <c:v>412</c:v>
                </c:pt>
                <c:pt idx="17">
                  <c:v>380</c:v>
                </c:pt>
                <c:pt idx="18">
                  <c:v>380</c:v>
                </c:pt>
                <c:pt idx="19">
                  <c:v>381</c:v>
                </c:pt>
                <c:pt idx="20">
                  <c:v>394</c:v>
                </c:pt>
                <c:pt idx="21">
                  <c:v>427</c:v>
                </c:pt>
                <c:pt idx="22">
                  <c:v>410</c:v>
                </c:pt>
                <c:pt idx="23">
                  <c:v>433</c:v>
                </c:pt>
                <c:pt idx="24">
                  <c:v>430</c:v>
                </c:pt>
                <c:pt idx="25">
                  <c:v>452</c:v>
                </c:pt>
                <c:pt idx="26">
                  <c:v>463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03-421F-9B96-8E878EAE8A13}"/>
            </c:ext>
          </c:extLst>
        </c:ser>
        <c:ser>
          <c:idx val="2"/>
          <c:order val="2"/>
          <c:tx>
            <c:strRef>
              <c:f>トマト!$A$78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トマト!$B$75:$AR$75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トマト!$B$78:$AR$78</c:f>
              <c:numCache>
                <c:formatCode>#,##0_);[Red]\(#,##0\)</c:formatCode>
                <c:ptCount val="43"/>
                <c:pt idx="0">
                  <c:v>269</c:v>
                </c:pt>
                <c:pt idx="1">
                  <c:v>269</c:v>
                </c:pt>
                <c:pt idx="2">
                  <c:v>269</c:v>
                </c:pt>
                <c:pt idx="3">
                  <c:v>269</c:v>
                </c:pt>
                <c:pt idx="4">
                  <c:v>269</c:v>
                </c:pt>
                <c:pt idx="5">
                  <c:v>269</c:v>
                </c:pt>
                <c:pt idx="6">
                  <c:v>269</c:v>
                </c:pt>
                <c:pt idx="7">
                  <c:v>294</c:v>
                </c:pt>
                <c:pt idx="8">
                  <c:v>294</c:v>
                </c:pt>
                <c:pt idx="9">
                  <c:v>294</c:v>
                </c:pt>
                <c:pt idx="10">
                  <c:v>294</c:v>
                </c:pt>
                <c:pt idx="11">
                  <c:v>294</c:v>
                </c:pt>
                <c:pt idx="12">
                  <c:v>294</c:v>
                </c:pt>
                <c:pt idx="13">
                  <c:v>294</c:v>
                </c:pt>
                <c:pt idx="14">
                  <c:v>294</c:v>
                </c:pt>
                <c:pt idx="15">
                  <c:v>284</c:v>
                </c:pt>
                <c:pt idx="16">
                  <c:v>284</c:v>
                </c:pt>
                <c:pt idx="17">
                  <c:v>284</c:v>
                </c:pt>
                <c:pt idx="18">
                  <c:v>284</c:v>
                </c:pt>
                <c:pt idx="19">
                  <c:v>284</c:v>
                </c:pt>
                <c:pt idx="20">
                  <c:v>284</c:v>
                </c:pt>
                <c:pt idx="21">
                  <c:v>284</c:v>
                </c:pt>
                <c:pt idx="22">
                  <c:v>314</c:v>
                </c:pt>
                <c:pt idx="23">
                  <c:v>314</c:v>
                </c:pt>
                <c:pt idx="24">
                  <c:v>314</c:v>
                </c:pt>
                <c:pt idx="25">
                  <c:v>314</c:v>
                </c:pt>
                <c:pt idx="26">
                  <c:v>314</c:v>
                </c:pt>
                <c:pt idx="27">
                  <c:v>314</c:v>
                </c:pt>
                <c:pt idx="28">
                  <c:v>314</c:v>
                </c:pt>
                <c:pt idx="29">
                  <c:v>348</c:v>
                </c:pt>
                <c:pt idx="30">
                  <c:v>348</c:v>
                </c:pt>
                <c:pt idx="31">
                  <c:v>348</c:v>
                </c:pt>
                <c:pt idx="32">
                  <c:v>348</c:v>
                </c:pt>
                <c:pt idx="33">
                  <c:v>348</c:v>
                </c:pt>
                <c:pt idx="34">
                  <c:v>348</c:v>
                </c:pt>
                <c:pt idx="35">
                  <c:v>367</c:v>
                </c:pt>
                <c:pt idx="36">
                  <c:v>367</c:v>
                </c:pt>
                <c:pt idx="37">
                  <c:v>367</c:v>
                </c:pt>
                <c:pt idx="38">
                  <c:v>367</c:v>
                </c:pt>
                <c:pt idx="39">
                  <c:v>367</c:v>
                </c:pt>
                <c:pt idx="40">
                  <c:v>367</c:v>
                </c:pt>
                <c:pt idx="41">
                  <c:v>367</c:v>
                </c:pt>
                <c:pt idx="42">
                  <c:v>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03-421F-9B96-8E878EAE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06704"/>
        <c:axId val="1"/>
      </c:lineChart>
      <c:catAx>
        <c:axId val="963006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6300670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868409508272725"/>
          <c:y val="4.3580021165196253E-3"/>
          <c:w val="0.26116304503510918"/>
          <c:h val="9.6824033263849182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474786904437519E-2"/>
          <c:y val="7.511327958363255E-2"/>
          <c:w val="0.91223986655208888"/>
          <c:h val="0.871145117743885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トマト!$A$116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トマト!$B$115:$AR$115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トマト!$B$116:$AR$116</c:f>
              <c:numCache>
                <c:formatCode>#,##0_);[Red]\(#,##0\)</c:formatCode>
                <c:ptCount val="43"/>
                <c:pt idx="0">
                  <c:v>116.02200000000001</c:v>
                </c:pt>
                <c:pt idx="1">
                  <c:v>70.417000000000002</c:v>
                </c:pt>
                <c:pt idx="2">
                  <c:v>112.553</c:v>
                </c:pt>
                <c:pt idx="3">
                  <c:v>68.596999999999994</c:v>
                </c:pt>
                <c:pt idx="4">
                  <c:v>79.707999999999998</c:v>
                </c:pt>
                <c:pt idx="5">
                  <c:v>134.476</c:v>
                </c:pt>
                <c:pt idx="6">
                  <c:v>72.179000000000002</c:v>
                </c:pt>
                <c:pt idx="7">
                  <c:v>115.64700000000001</c:v>
                </c:pt>
                <c:pt idx="8">
                  <c:v>56.640999999999998</c:v>
                </c:pt>
                <c:pt idx="9">
                  <c:v>60.517000000000003</c:v>
                </c:pt>
                <c:pt idx="10">
                  <c:v>93.706000000000003</c:v>
                </c:pt>
                <c:pt idx="11">
                  <c:v>63.064999999999998</c:v>
                </c:pt>
                <c:pt idx="12">
                  <c:v>97.733000000000004</c:v>
                </c:pt>
                <c:pt idx="13">
                  <c:v>67.724999999999994</c:v>
                </c:pt>
                <c:pt idx="14">
                  <c:v>57.841000000000001</c:v>
                </c:pt>
                <c:pt idx="15">
                  <c:v>104.014</c:v>
                </c:pt>
                <c:pt idx="16">
                  <c:v>75.054000000000002</c:v>
                </c:pt>
                <c:pt idx="17">
                  <c:v>97.966999999999999</c:v>
                </c:pt>
                <c:pt idx="18">
                  <c:v>52.918999999999997</c:v>
                </c:pt>
                <c:pt idx="19">
                  <c:v>54.460999999999999</c:v>
                </c:pt>
                <c:pt idx="20">
                  <c:v>88.474999999999994</c:v>
                </c:pt>
                <c:pt idx="21">
                  <c:v>58.764000000000003</c:v>
                </c:pt>
                <c:pt idx="22">
                  <c:v>80.835999999999999</c:v>
                </c:pt>
                <c:pt idx="23">
                  <c:v>49.109000000000002</c:v>
                </c:pt>
                <c:pt idx="24">
                  <c:v>54.652999999999999</c:v>
                </c:pt>
                <c:pt idx="25">
                  <c:v>91.622</c:v>
                </c:pt>
                <c:pt idx="26">
                  <c:v>51.146000000000001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3-4B93-BA25-4E7CC17C9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トマト!$A$117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トマト!$B$115:$AR$115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トマト!$B$117:$AR$117</c:f>
              <c:numCache>
                <c:formatCode>#,##0_);[Red]\(#,##0\)</c:formatCode>
                <c:ptCount val="43"/>
                <c:pt idx="0">
                  <c:v>363</c:v>
                </c:pt>
                <c:pt idx="1">
                  <c:v>374</c:v>
                </c:pt>
                <c:pt idx="2">
                  <c:v>368</c:v>
                </c:pt>
                <c:pt idx="3">
                  <c:v>368</c:v>
                </c:pt>
                <c:pt idx="4">
                  <c:v>383</c:v>
                </c:pt>
                <c:pt idx="5">
                  <c:v>363</c:v>
                </c:pt>
                <c:pt idx="6">
                  <c:v>374</c:v>
                </c:pt>
                <c:pt idx="7">
                  <c:v>367</c:v>
                </c:pt>
                <c:pt idx="8">
                  <c:v>361</c:v>
                </c:pt>
                <c:pt idx="9">
                  <c:v>379</c:v>
                </c:pt>
                <c:pt idx="10">
                  <c:v>370</c:v>
                </c:pt>
                <c:pt idx="11">
                  <c:v>390</c:v>
                </c:pt>
                <c:pt idx="12">
                  <c:v>391</c:v>
                </c:pt>
                <c:pt idx="13">
                  <c:v>392</c:v>
                </c:pt>
                <c:pt idx="14">
                  <c:v>404</c:v>
                </c:pt>
                <c:pt idx="15">
                  <c:v>419</c:v>
                </c:pt>
                <c:pt idx="16">
                  <c:v>433</c:v>
                </c:pt>
                <c:pt idx="17">
                  <c:v>412</c:v>
                </c:pt>
                <c:pt idx="18">
                  <c:v>401</c:v>
                </c:pt>
                <c:pt idx="19">
                  <c:v>416</c:v>
                </c:pt>
                <c:pt idx="20">
                  <c:v>395</c:v>
                </c:pt>
                <c:pt idx="21">
                  <c:v>420</c:v>
                </c:pt>
                <c:pt idx="22">
                  <c:v>409</c:v>
                </c:pt>
                <c:pt idx="23">
                  <c:v>428</c:v>
                </c:pt>
                <c:pt idx="24">
                  <c:v>446</c:v>
                </c:pt>
                <c:pt idx="25">
                  <c:v>436</c:v>
                </c:pt>
                <c:pt idx="26">
                  <c:v>449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3-4B93-BA25-4E7CC17C9148}"/>
            </c:ext>
          </c:extLst>
        </c:ser>
        <c:ser>
          <c:idx val="2"/>
          <c:order val="2"/>
          <c:tx>
            <c:strRef>
              <c:f>トマト!$A$118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トマト!$B$115:$AR$115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トマト!$B$118:$AR$118</c:f>
              <c:numCache>
                <c:formatCode>#,##0_);[Red]\(#,##0\)</c:formatCode>
                <c:ptCount val="43"/>
                <c:pt idx="0">
                  <c:v>311</c:v>
                </c:pt>
                <c:pt idx="1">
                  <c:v>311</c:v>
                </c:pt>
                <c:pt idx="2">
                  <c:v>311</c:v>
                </c:pt>
                <c:pt idx="3">
                  <c:v>311</c:v>
                </c:pt>
                <c:pt idx="4">
                  <c:v>311</c:v>
                </c:pt>
                <c:pt idx="5">
                  <c:v>311</c:v>
                </c:pt>
                <c:pt idx="6">
                  <c:v>311</c:v>
                </c:pt>
                <c:pt idx="7">
                  <c:v>333</c:v>
                </c:pt>
                <c:pt idx="8">
                  <c:v>333</c:v>
                </c:pt>
                <c:pt idx="9">
                  <c:v>333</c:v>
                </c:pt>
                <c:pt idx="10">
                  <c:v>333</c:v>
                </c:pt>
                <c:pt idx="11">
                  <c:v>333</c:v>
                </c:pt>
                <c:pt idx="12">
                  <c:v>333</c:v>
                </c:pt>
                <c:pt idx="13">
                  <c:v>333</c:v>
                </c:pt>
                <c:pt idx="14">
                  <c:v>333</c:v>
                </c:pt>
                <c:pt idx="15">
                  <c:v>335</c:v>
                </c:pt>
                <c:pt idx="16">
                  <c:v>335</c:v>
                </c:pt>
                <c:pt idx="17">
                  <c:v>335</c:v>
                </c:pt>
                <c:pt idx="18">
                  <c:v>335</c:v>
                </c:pt>
                <c:pt idx="19">
                  <c:v>335</c:v>
                </c:pt>
                <c:pt idx="20">
                  <c:v>335</c:v>
                </c:pt>
                <c:pt idx="21">
                  <c:v>335</c:v>
                </c:pt>
                <c:pt idx="22">
                  <c:v>348</c:v>
                </c:pt>
                <c:pt idx="23">
                  <c:v>348</c:v>
                </c:pt>
                <c:pt idx="24">
                  <c:v>348</c:v>
                </c:pt>
                <c:pt idx="25">
                  <c:v>348</c:v>
                </c:pt>
                <c:pt idx="26">
                  <c:v>348</c:v>
                </c:pt>
                <c:pt idx="27">
                  <c:v>348</c:v>
                </c:pt>
                <c:pt idx="28">
                  <c:v>348</c:v>
                </c:pt>
                <c:pt idx="29">
                  <c:v>359</c:v>
                </c:pt>
                <c:pt idx="30">
                  <c:v>359</c:v>
                </c:pt>
                <c:pt idx="31">
                  <c:v>359</c:v>
                </c:pt>
                <c:pt idx="32">
                  <c:v>359</c:v>
                </c:pt>
                <c:pt idx="33">
                  <c:v>359</c:v>
                </c:pt>
                <c:pt idx="34">
                  <c:v>359</c:v>
                </c:pt>
                <c:pt idx="35">
                  <c:v>361</c:v>
                </c:pt>
                <c:pt idx="36">
                  <c:v>361</c:v>
                </c:pt>
                <c:pt idx="37">
                  <c:v>361</c:v>
                </c:pt>
                <c:pt idx="38">
                  <c:v>361</c:v>
                </c:pt>
                <c:pt idx="39">
                  <c:v>361</c:v>
                </c:pt>
                <c:pt idx="40">
                  <c:v>361</c:v>
                </c:pt>
                <c:pt idx="41">
                  <c:v>361</c:v>
                </c:pt>
                <c:pt idx="42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3-4B93-BA25-4E7CC17C9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11696"/>
        <c:axId val="1"/>
      </c:lineChart>
      <c:catAx>
        <c:axId val="96301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6301169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59843187738132"/>
          <c:y val="1.6418975303058325E-3"/>
          <c:w val="0.26443792819709905"/>
          <c:h val="8.8199239726594603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814359704469002E-2"/>
          <c:y val="8.5721282180098737E-2"/>
          <c:w val="0.91410955963991924"/>
          <c:h val="0.867961725445077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トマト!$A$156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トマト!$B$155:$AR$155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トマト!$B$156:$AR$156</c:f>
              <c:numCache>
                <c:formatCode>#,##0_);[Red]\(#,##0\)</c:formatCode>
                <c:ptCount val="43"/>
                <c:pt idx="0">
                  <c:v>38.658999999999999</c:v>
                </c:pt>
                <c:pt idx="1">
                  <c:v>41.555999999999997</c:v>
                </c:pt>
                <c:pt idx="2">
                  <c:v>48.404000000000003</c:v>
                </c:pt>
                <c:pt idx="3">
                  <c:v>35.673000000000002</c:v>
                </c:pt>
                <c:pt idx="4">
                  <c:v>44.64</c:v>
                </c:pt>
                <c:pt idx="5">
                  <c:v>57.393000000000001</c:v>
                </c:pt>
                <c:pt idx="6">
                  <c:v>45.831000000000003</c:v>
                </c:pt>
                <c:pt idx="7">
                  <c:v>57.936</c:v>
                </c:pt>
                <c:pt idx="8">
                  <c:v>37.174999999999997</c:v>
                </c:pt>
                <c:pt idx="9">
                  <c:v>40.594999999999999</c:v>
                </c:pt>
                <c:pt idx="10">
                  <c:v>47.2</c:v>
                </c:pt>
                <c:pt idx="11">
                  <c:v>43.091000000000001</c:v>
                </c:pt>
                <c:pt idx="12">
                  <c:v>57.350999999999999</c:v>
                </c:pt>
                <c:pt idx="13">
                  <c:v>32.704000000000001</c:v>
                </c:pt>
                <c:pt idx="14">
                  <c:v>35.469000000000001</c:v>
                </c:pt>
                <c:pt idx="15">
                  <c:v>52.076000000000001</c:v>
                </c:pt>
                <c:pt idx="16">
                  <c:v>46.036999999999999</c:v>
                </c:pt>
                <c:pt idx="17">
                  <c:v>61.771999999999998</c:v>
                </c:pt>
                <c:pt idx="18">
                  <c:v>38.287999999999997</c:v>
                </c:pt>
                <c:pt idx="19">
                  <c:v>41.606999999999999</c:v>
                </c:pt>
                <c:pt idx="20">
                  <c:v>48.835999999999999</c:v>
                </c:pt>
                <c:pt idx="21">
                  <c:v>36.670999999999999</c:v>
                </c:pt>
                <c:pt idx="22">
                  <c:v>54.439</c:v>
                </c:pt>
                <c:pt idx="23">
                  <c:v>34.225999999999999</c:v>
                </c:pt>
                <c:pt idx="24">
                  <c:v>51.345999999999997</c:v>
                </c:pt>
                <c:pt idx="25">
                  <c:v>71.061999999999998</c:v>
                </c:pt>
                <c:pt idx="26">
                  <c:v>52.807000000000002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E-4FB5-8A78-EF44A4297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トマト!$A$157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トマト!$B$155:$AR$155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トマト!$B$157:$AR$157</c:f>
              <c:numCache>
                <c:formatCode>#,##0_);[Red]\(#,##0\)</c:formatCode>
                <c:ptCount val="43"/>
                <c:pt idx="0">
                  <c:v>342</c:v>
                </c:pt>
                <c:pt idx="1">
                  <c:v>342</c:v>
                </c:pt>
                <c:pt idx="2">
                  <c:v>344</c:v>
                </c:pt>
                <c:pt idx="3">
                  <c:v>351</c:v>
                </c:pt>
                <c:pt idx="4">
                  <c:v>348</c:v>
                </c:pt>
                <c:pt idx="5">
                  <c:v>325</c:v>
                </c:pt>
                <c:pt idx="6">
                  <c:v>324</c:v>
                </c:pt>
                <c:pt idx="7">
                  <c:v>319</c:v>
                </c:pt>
                <c:pt idx="8">
                  <c:v>320</c:v>
                </c:pt>
                <c:pt idx="9">
                  <c:v>334</c:v>
                </c:pt>
                <c:pt idx="10">
                  <c:v>341</c:v>
                </c:pt>
                <c:pt idx="11">
                  <c:v>357</c:v>
                </c:pt>
                <c:pt idx="12">
                  <c:v>345</c:v>
                </c:pt>
                <c:pt idx="13">
                  <c:v>340</c:v>
                </c:pt>
                <c:pt idx="14">
                  <c:v>360</c:v>
                </c:pt>
                <c:pt idx="15">
                  <c:v>364</c:v>
                </c:pt>
                <c:pt idx="16">
                  <c:v>356</c:v>
                </c:pt>
                <c:pt idx="17">
                  <c:v>360</c:v>
                </c:pt>
                <c:pt idx="18">
                  <c:v>347</c:v>
                </c:pt>
                <c:pt idx="19">
                  <c:v>360</c:v>
                </c:pt>
                <c:pt idx="20">
                  <c:v>367</c:v>
                </c:pt>
                <c:pt idx="21">
                  <c:v>357</c:v>
                </c:pt>
                <c:pt idx="22">
                  <c:v>377</c:v>
                </c:pt>
                <c:pt idx="23">
                  <c:v>382</c:v>
                </c:pt>
                <c:pt idx="24">
                  <c:v>385</c:v>
                </c:pt>
                <c:pt idx="25">
                  <c:v>378</c:v>
                </c:pt>
                <c:pt idx="26">
                  <c:v>376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E-4FB5-8A78-EF44A4297C29}"/>
            </c:ext>
          </c:extLst>
        </c:ser>
        <c:ser>
          <c:idx val="2"/>
          <c:order val="2"/>
          <c:tx>
            <c:strRef>
              <c:f>トマト!$A$158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トマト!$B$155:$AR$155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トマト!$B$158:$AR$158</c:f>
              <c:numCache>
                <c:formatCode>#,##0_);[Red]\(#,##0\)</c:formatCode>
                <c:ptCount val="43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260</c:v>
                </c:pt>
                <c:pt idx="4">
                  <c:v>260</c:v>
                </c:pt>
                <c:pt idx="5">
                  <c:v>260</c:v>
                </c:pt>
                <c:pt idx="6">
                  <c:v>260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238</c:v>
                </c:pt>
                <c:pt idx="16">
                  <c:v>238</c:v>
                </c:pt>
                <c:pt idx="17">
                  <c:v>238</c:v>
                </c:pt>
                <c:pt idx="18">
                  <c:v>238</c:v>
                </c:pt>
                <c:pt idx="19">
                  <c:v>238</c:v>
                </c:pt>
                <c:pt idx="20">
                  <c:v>238</c:v>
                </c:pt>
                <c:pt idx="21">
                  <c:v>238</c:v>
                </c:pt>
                <c:pt idx="22">
                  <c:v>268</c:v>
                </c:pt>
                <c:pt idx="23">
                  <c:v>268</c:v>
                </c:pt>
                <c:pt idx="24">
                  <c:v>268</c:v>
                </c:pt>
                <c:pt idx="25">
                  <c:v>268</c:v>
                </c:pt>
                <c:pt idx="26">
                  <c:v>268</c:v>
                </c:pt>
                <c:pt idx="27">
                  <c:v>268</c:v>
                </c:pt>
                <c:pt idx="28">
                  <c:v>268</c:v>
                </c:pt>
                <c:pt idx="29">
                  <c:v>279</c:v>
                </c:pt>
                <c:pt idx="30">
                  <c:v>279</c:v>
                </c:pt>
                <c:pt idx="31">
                  <c:v>279</c:v>
                </c:pt>
                <c:pt idx="32">
                  <c:v>279</c:v>
                </c:pt>
                <c:pt idx="33">
                  <c:v>279</c:v>
                </c:pt>
                <c:pt idx="34">
                  <c:v>279</c:v>
                </c:pt>
                <c:pt idx="35">
                  <c:v>292</c:v>
                </c:pt>
                <c:pt idx="36">
                  <c:v>292</c:v>
                </c:pt>
                <c:pt idx="37">
                  <c:v>292</c:v>
                </c:pt>
                <c:pt idx="38">
                  <c:v>292</c:v>
                </c:pt>
                <c:pt idx="39">
                  <c:v>292</c:v>
                </c:pt>
                <c:pt idx="40">
                  <c:v>292</c:v>
                </c:pt>
                <c:pt idx="41">
                  <c:v>292</c:v>
                </c:pt>
                <c:pt idx="42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E-4FB5-8A78-EF44A4297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134240"/>
        <c:axId val="1"/>
      </c:lineChart>
      <c:catAx>
        <c:axId val="1015134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101513424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030353391677377"/>
          <c:y val="1.4687756123851526E-3"/>
          <c:w val="0.27587914514676004"/>
          <c:h val="8.8310906052575355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880227606663209E-2"/>
          <c:y val="9.2717034865833756E-2"/>
          <c:w val="0.91594186842154413"/>
          <c:h val="0.86206667007747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トマト!$A$36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トマト!$B$35:$AR$35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トマト!$B$36:$AR$36</c:f>
              <c:numCache>
                <c:formatCode>#,##0_);[Red]\(#,##0\)</c:formatCode>
                <c:ptCount val="43"/>
                <c:pt idx="0">
                  <c:v>309.851</c:v>
                </c:pt>
                <c:pt idx="1">
                  <c:v>201.732</c:v>
                </c:pt>
                <c:pt idx="2">
                  <c:v>371.89699999999999</c:v>
                </c:pt>
                <c:pt idx="3">
                  <c:v>199.208</c:v>
                </c:pt>
                <c:pt idx="4">
                  <c:v>286.08199999999999</c:v>
                </c:pt>
                <c:pt idx="5">
                  <c:v>357.15800000000002</c:v>
                </c:pt>
                <c:pt idx="6">
                  <c:v>229.15</c:v>
                </c:pt>
                <c:pt idx="7">
                  <c:v>347.238</c:v>
                </c:pt>
                <c:pt idx="8">
                  <c:v>172.32499999999999</c:v>
                </c:pt>
                <c:pt idx="9">
                  <c:v>196.95</c:v>
                </c:pt>
                <c:pt idx="10">
                  <c:v>254.99799999999999</c:v>
                </c:pt>
                <c:pt idx="11">
                  <c:v>183.99700000000001</c:v>
                </c:pt>
                <c:pt idx="12">
                  <c:v>307.01900000000001</c:v>
                </c:pt>
                <c:pt idx="13">
                  <c:v>167.13800000000001</c:v>
                </c:pt>
                <c:pt idx="14">
                  <c:v>212.113</c:v>
                </c:pt>
                <c:pt idx="15">
                  <c:v>275.61700000000002</c:v>
                </c:pt>
                <c:pt idx="16">
                  <c:v>200.64400000000001</c:v>
                </c:pt>
                <c:pt idx="17">
                  <c:v>370.71499999999997</c:v>
                </c:pt>
                <c:pt idx="18">
                  <c:v>191.357</c:v>
                </c:pt>
                <c:pt idx="19">
                  <c:v>216.97499999999999</c:v>
                </c:pt>
                <c:pt idx="20">
                  <c:v>267.43400000000003</c:v>
                </c:pt>
                <c:pt idx="21">
                  <c:v>185.68799999999999</c:v>
                </c:pt>
                <c:pt idx="22">
                  <c:v>292.09500000000003</c:v>
                </c:pt>
                <c:pt idx="23">
                  <c:v>158.34700000000001</c:v>
                </c:pt>
                <c:pt idx="24">
                  <c:v>172.56200000000001</c:v>
                </c:pt>
                <c:pt idx="25">
                  <c:v>255.82400000000001</c:v>
                </c:pt>
                <c:pt idx="26">
                  <c:v>188.036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1-40BC-A9FC-AB2775F72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トマト!$A$37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トマト!$B$35:$AR$35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トマト!$B$37:$AR$37</c:f>
              <c:numCache>
                <c:formatCode>#,##0_);[Red]\(#,##0\)</c:formatCode>
                <c:ptCount val="43"/>
                <c:pt idx="0">
                  <c:v>390</c:v>
                </c:pt>
                <c:pt idx="1">
                  <c:v>404</c:v>
                </c:pt>
                <c:pt idx="2">
                  <c:v>402</c:v>
                </c:pt>
                <c:pt idx="3">
                  <c:v>402</c:v>
                </c:pt>
                <c:pt idx="4">
                  <c:v>417</c:v>
                </c:pt>
                <c:pt idx="5">
                  <c:v>398</c:v>
                </c:pt>
                <c:pt idx="6">
                  <c:v>403</c:v>
                </c:pt>
                <c:pt idx="7">
                  <c:v>406</c:v>
                </c:pt>
                <c:pt idx="8">
                  <c:v>409</c:v>
                </c:pt>
                <c:pt idx="9">
                  <c:v>427</c:v>
                </c:pt>
                <c:pt idx="10">
                  <c:v>412</c:v>
                </c:pt>
                <c:pt idx="11">
                  <c:v>418</c:v>
                </c:pt>
                <c:pt idx="12">
                  <c:v>430</c:v>
                </c:pt>
                <c:pt idx="13">
                  <c:v>429</c:v>
                </c:pt>
                <c:pt idx="14">
                  <c:v>448</c:v>
                </c:pt>
                <c:pt idx="15">
                  <c:v>442</c:v>
                </c:pt>
                <c:pt idx="16">
                  <c:v>449</c:v>
                </c:pt>
                <c:pt idx="17">
                  <c:v>441</c:v>
                </c:pt>
                <c:pt idx="18">
                  <c:v>447</c:v>
                </c:pt>
                <c:pt idx="19">
                  <c:v>451</c:v>
                </c:pt>
                <c:pt idx="20">
                  <c:v>442</c:v>
                </c:pt>
                <c:pt idx="21">
                  <c:v>447</c:v>
                </c:pt>
                <c:pt idx="22">
                  <c:v>450</c:v>
                </c:pt>
                <c:pt idx="23">
                  <c:v>454</c:v>
                </c:pt>
                <c:pt idx="24">
                  <c:v>481</c:v>
                </c:pt>
                <c:pt idx="25">
                  <c:v>460</c:v>
                </c:pt>
                <c:pt idx="26">
                  <c:v>486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1-40BC-A9FC-AB2775F727FE}"/>
            </c:ext>
          </c:extLst>
        </c:ser>
        <c:ser>
          <c:idx val="2"/>
          <c:order val="2"/>
          <c:tx>
            <c:strRef>
              <c:f>トマト!$A$38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トマト!$B$35:$AR$35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トマト!$B$38:$AR$38</c:f>
              <c:numCache>
                <c:formatCode>#,##0_);[Red]\(#,##0\)</c:formatCode>
                <c:ptCount val="43"/>
                <c:pt idx="0">
                  <c:v>317</c:v>
                </c:pt>
                <c:pt idx="1">
                  <c:v>317</c:v>
                </c:pt>
                <c:pt idx="2">
                  <c:v>317</c:v>
                </c:pt>
                <c:pt idx="3">
                  <c:v>317</c:v>
                </c:pt>
                <c:pt idx="4">
                  <c:v>317</c:v>
                </c:pt>
                <c:pt idx="5">
                  <c:v>317</c:v>
                </c:pt>
                <c:pt idx="6">
                  <c:v>317</c:v>
                </c:pt>
                <c:pt idx="7">
                  <c:v>351</c:v>
                </c:pt>
                <c:pt idx="8">
                  <c:v>351</c:v>
                </c:pt>
                <c:pt idx="9">
                  <c:v>351</c:v>
                </c:pt>
                <c:pt idx="10">
                  <c:v>351</c:v>
                </c:pt>
                <c:pt idx="11">
                  <c:v>351</c:v>
                </c:pt>
                <c:pt idx="12">
                  <c:v>351</c:v>
                </c:pt>
                <c:pt idx="13">
                  <c:v>351</c:v>
                </c:pt>
                <c:pt idx="14">
                  <c:v>351</c:v>
                </c:pt>
                <c:pt idx="15">
                  <c:v>325</c:v>
                </c:pt>
                <c:pt idx="16">
                  <c:v>325</c:v>
                </c:pt>
                <c:pt idx="17">
                  <c:v>325</c:v>
                </c:pt>
                <c:pt idx="18">
                  <c:v>325</c:v>
                </c:pt>
                <c:pt idx="19">
                  <c:v>325</c:v>
                </c:pt>
                <c:pt idx="20">
                  <c:v>325</c:v>
                </c:pt>
                <c:pt idx="21">
                  <c:v>325</c:v>
                </c:pt>
                <c:pt idx="22">
                  <c:v>353</c:v>
                </c:pt>
                <c:pt idx="23">
                  <c:v>353</c:v>
                </c:pt>
                <c:pt idx="24">
                  <c:v>353</c:v>
                </c:pt>
                <c:pt idx="25">
                  <c:v>353</c:v>
                </c:pt>
                <c:pt idx="26">
                  <c:v>353</c:v>
                </c:pt>
                <c:pt idx="27">
                  <c:v>353</c:v>
                </c:pt>
                <c:pt idx="28">
                  <c:v>353</c:v>
                </c:pt>
                <c:pt idx="29">
                  <c:v>366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374</c:v>
                </c:pt>
                <c:pt idx="36">
                  <c:v>374</c:v>
                </c:pt>
                <c:pt idx="37">
                  <c:v>374</c:v>
                </c:pt>
                <c:pt idx="38">
                  <c:v>374</c:v>
                </c:pt>
                <c:pt idx="39">
                  <c:v>374</c:v>
                </c:pt>
                <c:pt idx="40">
                  <c:v>374</c:v>
                </c:pt>
                <c:pt idx="41">
                  <c:v>374</c:v>
                </c:pt>
                <c:pt idx="42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11-40BC-A9FC-AB2775F72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136736"/>
        <c:axId val="1"/>
      </c:lineChart>
      <c:catAx>
        <c:axId val="1015136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101513673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6770468993410671"/>
          <c:y val="1.0479022803694406E-3"/>
          <c:w val="0.26069229503913921"/>
          <c:h val="8.8385460470564572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601445271073984E-2"/>
          <c:y val="5.7347710751213893E-2"/>
          <c:w val="0.9138902946192774"/>
          <c:h val="0.876629076144700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なす!$A$36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なす!$B$35:$AR$35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なす!$B$36:$AR$36</c:f>
              <c:numCache>
                <c:formatCode>#,##0_);[Red]\(#,##0\)</c:formatCode>
                <c:ptCount val="43"/>
                <c:pt idx="0">
                  <c:v>187.58</c:v>
                </c:pt>
                <c:pt idx="1">
                  <c:v>117.99</c:v>
                </c:pt>
                <c:pt idx="2">
                  <c:v>190.32499999999999</c:v>
                </c:pt>
                <c:pt idx="3">
                  <c:v>136.87299999999999</c:v>
                </c:pt>
                <c:pt idx="4">
                  <c:v>115.584</c:v>
                </c:pt>
                <c:pt idx="5">
                  <c:v>182.774</c:v>
                </c:pt>
                <c:pt idx="6">
                  <c:v>110.63</c:v>
                </c:pt>
                <c:pt idx="7">
                  <c:v>191.333</c:v>
                </c:pt>
                <c:pt idx="8">
                  <c:v>118.619</c:v>
                </c:pt>
                <c:pt idx="9">
                  <c:v>126.374</c:v>
                </c:pt>
                <c:pt idx="10">
                  <c:v>167.52199999999999</c:v>
                </c:pt>
                <c:pt idx="11">
                  <c:v>127.66800000000001</c:v>
                </c:pt>
                <c:pt idx="12">
                  <c:v>200.935</c:v>
                </c:pt>
                <c:pt idx="13">
                  <c:v>133.94800000000001</c:v>
                </c:pt>
                <c:pt idx="14">
                  <c:v>146.03399999999999</c:v>
                </c:pt>
                <c:pt idx="15">
                  <c:v>206.22499999999999</c:v>
                </c:pt>
                <c:pt idx="16">
                  <c:v>140.78</c:v>
                </c:pt>
                <c:pt idx="17">
                  <c:v>201.86099999999999</c:v>
                </c:pt>
                <c:pt idx="18">
                  <c:v>126.67100000000001</c:v>
                </c:pt>
                <c:pt idx="19">
                  <c:v>123.541</c:v>
                </c:pt>
                <c:pt idx="20">
                  <c:v>142.46299999999999</c:v>
                </c:pt>
                <c:pt idx="21">
                  <c:v>97.35</c:v>
                </c:pt>
                <c:pt idx="22">
                  <c:v>169.20500000000001</c:v>
                </c:pt>
                <c:pt idx="23">
                  <c:v>94.21</c:v>
                </c:pt>
                <c:pt idx="24">
                  <c:v>96.061000000000007</c:v>
                </c:pt>
                <c:pt idx="25">
                  <c:v>147.69900000000001</c:v>
                </c:pt>
                <c:pt idx="26">
                  <c:v>88.965999999999994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F-42B8-BD83-6129C726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なす!$A$37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なす!$B$35:$AR$35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なす!$B$37:$AR$37</c:f>
              <c:numCache>
                <c:formatCode>#,##0_);[Red]\(#,##0\)</c:formatCode>
                <c:ptCount val="43"/>
                <c:pt idx="0">
                  <c:v>389</c:v>
                </c:pt>
                <c:pt idx="1">
                  <c:v>392</c:v>
                </c:pt>
                <c:pt idx="2">
                  <c:v>393</c:v>
                </c:pt>
                <c:pt idx="3">
                  <c:v>395</c:v>
                </c:pt>
                <c:pt idx="4">
                  <c:v>409</c:v>
                </c:pt>
                <c:pt idx="5">
                  <c:v>426</c:v>
                </c:pt>
                <c:pt idx="6">
                  <c:v>446</c:v>
                </c:pt>
                <c:pt idx="7">
                  <c:v>437</c:v>
                </c:pt>
                <c:pt idx="8">
                  <c:v>435</c:v>
                </c:pt>
                <c:pt idx="9">
                  <c:v>444</c:v>
                </c:pt>
                <c:pt idx="10">
                  <c:v>447</c:v>
                </c:pt>
                <c:pt idx="11">
                  <c:v>443</c:v>
                </c:pt>
                <c:pt idx="12">
                  <c:v>430</c:v>
                </c:pt>
                <c:pt idx="13">
                  <c:v>422</c:v>
                </c:pt>
                <c:pt idx="14">
                  <c:v>424</c:v>
                </c:pt>
                <c:pt idx="15">
                  <c:v>410</c:v>
                </c:pt>
                <c:pt idx="16">
                  <c:v>398</c:v>
                </c:pt>
                <c:pt idx="17">
                  <c:v>414</c:v>
                </c:pt>
                <c:pt idx="18">
                  <c:v>409</c:v>
                </c:pt>
                <c:pt idx="19">
                  <c:v>414</c:v>
                </c:pt>
                <c:pt idx="20">
                  <c:v>427</c:v>
                </c:pt>
                <c:pt idx="21">
                  <c:v>408</c:v>
                </c:pt>
                <c:pt idx="22">
                  <c:v>426</c:v>
                </c:pt>
                <c:pt idx="23">
                  <c:v>437</c:v>
                </c:pt>
                <c:pt idx="24">
                  <c:v>451</c:v>
                </c:pt>
                <c:pt idx="25">
                  <c:v>494</c:v>
                </c:pt>
                <c:pt idx="26">
                  <c:v>491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F-42B8-BD83-6129C72685B5}"/>
            </c:ext>
          </c:extLst>
        </c:ser>
        <c:ser>
          <c:idx val="2"/>
          <c:order val="2"/>
          <c:tx>
            <c:strRef>
              <c:f>なす!$A$38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なす!$B$35:$AR$35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なす!$B$38:$AR$38</c:f>
              <c:numCache>
                <c:formatCode>#,##0_);[Red]\(#,##0\)</c:formatCode>
                <c:ptCount val="43"/>
                <c:pt idx="0">
                  <c:v>401</c:v>
                </c:pt>
                <c:pt idx="1">
                  <c:v>401</c:v>
                </c:pt>
                <c:pt idx="2">
                  <c:v>401</c:v>
                </c:pt>
                <c:pt idx="3">
                  <c:v>401</c:v>
                </c:pt>
                <c:pt idx="4">
                  <c:v>401</c:v>
                </c:pt>
                <c:pt idx="5">
                  <c:v>401</c:v>
                </c:pt>
                <c:pt idx="6">
                  <c:v>401</c:v>
                </c:pt>
                <c:pt idx="7">
                  <c:v>397</c:v>
                </c:pt>
                <c:pt idx="8">
                  <c:v>397</c:v>
                </c:pt>
                <c:pt idx="9">
                  <c:v>397</c:v>
                </c:pt>
                <c:pt idx="10">
                  <c:v>397</c:v>
                </c:pt>
                <c:pt idx="11">
                  <c:v>397</c:v>
                </c:pt>
                <c:pt idx="12">
                  <c:v>397</c:v>
                </c:pt>
                <c:pt idx="13">
                  <c:v>397</c:v>
                </c:pt>
                <c:pt idx="14">
                  <c:v>397</c:v>
                </c:pt>
                <c:pt idx="15">
                  <c:v>348</c:v>
                </c:pt>
                <c:pt idx="16">
                  <c:v>348</c:v>
                </c:pt>
                <c:pt idx="17">
                  <c:v>348</c:v>
                </c:pt>
                <c:pt idx="18">
                  <c:v>348</c:v>
                </c:pt>
                <c:pt idx="19">
                  <c:v>348</c:v>
                </c:pt>
                <c:pt idx="20">
                  <c:v>348</c:v>
                </c:pt>
                <c:pt idx="21">
                  <c:v>348</c:v>
                </c:pt>
                <c:pt idx="22">
                  <c:v>336</c:v>
                </c:pt>
                <c:pt idx="23">
                  <c:v>336</c:v>
                </c:pt>
                <c:pt idx="24">
                  <c:v>336</c:v>
                </c:pt>
                <c:pt idx="25">
                  <c:v>336</c:v>
                </c:pt>
                <c:pt idx="26">
                  <c:v>336</c:v>
                </c:pt>
                <c:pt idx="27">
                  <c:v>336</c:v>
                </c:pt>
                <c:pt idx="28">
                  <c:v>336</c:v>
                </c:pt>
                <c:pt idx="29">
                  <c:v>352</c:v>
                </c:pt>
                <c:pt idx="30">
                  <c:v>352</c:v>
                </c:pt>
                <c:pt idx="31">
                  <c:v>352</c:v>
                </c:pt>
                <c:pt idx="32">
                  <c:v>352</c:v>
                </c:pt>
                <c:pt idx="33">
                  <c:v>352</c:v>
                </c:pt>
                <c:pt idx="34">
                  <c:v>352</c:v>
                </c:pt>
                <c:pt idx="35">
                  <c:v>341</c:v>
                </c:pt>
                <c:pt idx="36">
                  <c:v>341</c:v>
                </c:pt>
                <c:pt idx="37">
                  <c:v>341</c:v>
                </c:pt>
                <c:pt idx="38">
                  <c:v>341</c:v>
                </c:pt>
                <c:pt idx="39">
                  <c:v>341</c:v>
                </c:pt>
                <c:pt idx="40">
                  <c:v>341</c:v>
                </c:pt>
                <c:pt idx="41">
                  <c:v>341</c:v>
                </c:pt>
                <c:pt idx="42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6F-42B8-BD83-6129C7268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135072"/>
        <c:axId val="1"/>
      </c:lineChart>
      <c:catAx>
        <c:axId val="101513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1015135072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939766098695707"/>
          <c:y val="6.0105993579569021E-3"/>
          <c:w val="0.26759545149143765"/>
          <c:h val="7.066604440349232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994221744514077E-2"/>
          <c:y val="7.2266689729091019E-2"/>
          <c:w val="0.91303908483496954"/>
          <c:h val="0.87213929922215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なす!$A$76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なす!$B$75:$AR$75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なす!$B$76:$AR$76</c:f>
              <c:numCache>
                <c:formatCode>#,##0_);[Red]\(#,##0\)</c:formatCode>
                <c:ptCount val="43"/>
                <c:pt idx="0">
                  <c:v>48.725000000000001</c:v>
                </c:pt>
                <c:pt idx="1">
                  <c:v>25.542999999999999</c:v>
                </c:pt>
                <c:pt idx="2">
                  <c:v>59.008000000000003</c:v>
                </c:pt>
                <c:pt idx="3">
                  <c:v>32.648000000000003</c:v>
                </c:pt>
                <c:pt idx="4">
                  <c:v>34.408999999999999</c:v>
                </c:pt>
                <c:pt idx="5">
                  <c:v>51.722999999999999</c:v>
                </c:pt>
                <c:pt idx="6">
                  <c:v>24.448</c:v>
                </c:pt>
                <c:pt idx="7">
                  <c:v>48.944000000000003</c:v>
                </c:pt>
                <c:pt idx="8">
                  <c:v>30.428000000000001</c:v>
                </c:pt>
                <c:pt idx="9">
                  <c:v>29.706</c:v>
                </c:pt>
                <c:pt idx="10">
                  <c:v>43.048999999999999</c:v>
                </c:pt>
                <c:pt idx="11">
                  <c:v>31.484999999999999</c:v>
                </c:pt>
                <c:pt idx="12">
                  <c:v>64.59</c:v>
                </c:pt>
                <c:pt idx="13">
                  <c:v>36.677</c:v>
                </c:pt>
                <c:pt idx="14">
                  <c:v>41.902000000000001</c:v>
                </c:pt>
                <c:pt idx="15">
                  <c:v>66.248000000000005</c:v>
                </c:pt>
                <c:pt idx="16">
                  <c:v>34.828000000000003</c:v>
                </c:pt>
                <c:pt idx="17">
                  <c:v>51.164000000000001</c:v>
                </c:pt>
                <c:pt idx="18">
                  <c:v>25.716999999999999</c:v>
                </c:pt>
                <c:pt idx="19">
                  <c:v>33.006999999999998</c:v>
                </c:pt>
                <c:pt idx="20">
                  <c:v>41.999000000000002</c:v>
                </c:pt>
                <c:pt idx="21">
                  <c:v>26.791</c:v>
                </c:pt>
                <c:pt idx="22">
                  <c:v>51.726999999999997</c:v>
                </c:pt>
                <c:pt idx="23">
                  <c:v>26.344000000000001</c:v>
                </c:pt>
                <c:pt idx="24">
                  <c:v>30.265000000000001</c:v>
                </c:pt>
                <c:pt idx="25">
                  <c:v>43.283000000000001</c:v>
                </c:pt>
                <c:pt idx="26">
                  <c:v>24.472000000000001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2-416E-9EA5-9DD6FDE15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なす!$A$77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なす!$B$75:$AR$75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なす!$B$77:$AR$77</c:f>
              <c:numCache>
                <c:formatCode>#,##0_);[Red]\(#,##0\)</c:formatCode>
                <c:ptCount val="43"/>
                <c:pt idx="0">
                  <c:v>369</c:v>
                </c:pt>
                <c:pt idx="1">
                  <c:v>362</c:v>
                </c:pt>
                <c:pt idx="2">
                  <c:v>367</c:v>
                </c:pt>
                <c:pt idx="3">
                  <c:v>369</c:v>
                </c:pt>
                <c:pt idx="4">
                  <c:v>370</c:v>
                </c:pt>
                <c:pt idx="5">
                  <c:v>372</c:v>
                </c:pt>
                <c:pt idx="6">
                  <c:v>375</c:v>
                </c:pt>
                <c:pt idx="7">
                  <c:v>377</c:v>
                </c:pt>
                <c:pt idx="8">
                  <c:v>381</c:v>
                </c:pt>
                <c:pt idx="9">
                  <c:v>379</c:v>
                </c:pt>
                <c:pt idx="10">
                  <c:v>381</c:v>
                </c:pt>
                <c:pt idx="11">
                  <c:v>392</c:v>
                </c:pt>
                <c:pt idx="12">
                  <c:v>383</c:v>
                </c:pt>
                <c:pt idx="13">
                  <c:v>384</c:v>
                </c:pt>
                <c:pt idx="14">
                  <c:v>373</c:v>
                </c:pt>
                <c:pt idx="15">
                  <c:v>367</c:v>
                </c:pt>
                <c:pt idx="16">
                  <c:v>364</c:v>
                </c:pt>
                <c:pt idx="17">
                  <c:v>361</c:v>
                </c:pt>
                <c:pt idx="18">
                  <c:v>365</c:v>
                </c:pt>
                <c:pt idx="19">
                  <c:v>361</c:v>
                </c:pt>
                <c:pt idx="20">
                  <c:v>369</c:v>
                </c:pt>
                <c:pt idx="21">
                  <c:v>360</c:v>
                </c:pt>
                <c:pt idx="22">
                  <c:v>354</c:v>
                </c:pt>
                <c:pt idx="23">
                  <c:v>360</c:v>
                </c:pt>
                <c:pt idx="24">
                  <c:v>372</c:v>
                </c:pt>
                <c:pt idx="25">
                  <c:v>382</c:v>
                </c:pt>
                <c:pt idx="26">
                  <c:v>396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2-416E-9EA5-9DD6FDE15A58}"/>
            </c:ext>
          </c:extLst>
        </c:ser>
        <c:ser>
          <c:idx val="2"/>
          <c:order val="2"/>
          <c:tx>
            <c:strRef>
              <c:f>なす!$A$78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なす!$B$75:$AR$75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なす!$B$78:$AR$78</c:f>
              <c:numCache>
                <c:formatCode>#,##0_);[Red]\(#,##0\)</c:formatCode>
                <c:ptCount val="4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369</c:v>
                </c:pt>
                <c:pt idx="8">
                  <c:v>369</c:v>
                </c:pt>
                <c:pt idx="9">
                  <c:v>369</c:v>
                </c:pt>
                <c:pt idx="10">
                  <c:v>369</c:v>
                </c:pt>
                <c:pt idx="11">
                  <c:v>369</c:v>
                </c:pt>
                <c:pt idx="12">
                  <c:v>369</c:v>
                </c:pt>
                <c:pt idx="13">
                  <c:v>369</c:v>
                </c:pt>
                <c:pt idx="14">
                  <c:v>369</c:v>
                </c:pt>
                <c:pt idx="15">
                  <c:v>347</c:v>
                </c:pt>
                <c:pt idx="16">
                  <c:v>347</c:v>
                </c:pt>
                <c:pt idx="17">
                  <c:v>347</c:v>
                </c:pt>
                <c:pt idx="18">
                  <c:v>347</c:v>
                </c:pt>
                <c:pt idx="19">
                  <c:v>347</c:v>
                </c:pt>
                <c:pt idx="20">
                  <c:v>347</c:v>
                </c:pt>
                <c:pt idx="21">
                  <c:v>347</c:v>
                </c:pt>
                <c:pt idx="22">
                  <c:v>312</c:v>
                </c:pt>
                <c:pt idx="23">
                  <c:v>312</c:v>
                </c:pt>
                <c:pt idx="24">
                  <c:v>312</c:v>
                </c:pt>
                <c:pt idx="25">
                  <c:v>312</c:v>
                </c:pt>
                <c:pt idx="26">
                  <c:v>312</c:v>
                </c:pt>
                <c:pt idx="27">
                  <c:v>312</c:v>
                </c:pt>
                <c:pt idx="28">
                  <c:v>312</c:v>
                </c:pt>
                <c:pt idx="29">
                  <c:v>311</c:v>
                </c:pt>
                <c:pt idx="30">
                  <c:v>311</c:v>
                </c:pt>
                <c:pt idx="31">
                  <c:v>311</c:v>
                </c:pt>
                <c:pt idx="32">
                  <c:v>311</c:v>
                </c:pt>
                <c:pt idx="33">
                  <c:v>311</c:v>
                </c:pt>
                <c:pt idx="34">
                  <c:v>311</c:v>
                </c:pt>
                <c:pt idx="35">
                  <c:v>328</c:v>
                </c:pt>
                <c:pt idx="36">
                  <c:v>328</c:v>
                </c:pt>
                <c:pt idx="37">
                  <c:v>328</c:v>
                </c:pt>
                <c:pt idx="38">
                  <c:v>328</c:v>
                </c:pt>
                <c:pt idx="39">
                  <c:v>328</c:v>
                </c:pt>
                <c:pt idx="40">
                  <c:v>328</c:v>
                </c:pt>
                <c:pt idx="41">
                  <c:v>328</c:v>
                </c:pt>
                <c:pt idx="42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A2-416E-9EA5-9DD6FDE15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537184"/>
        <c:axId val="1"/>
      </c:lineChart>
      <c:catAx>
        <c:axId val="959537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953718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626449870755571"/>
          <c:y val="1.1592591085432052E-3"/>
          <c:w val="0.26905821211138486"/>
          <c:h val="7.8633369222322169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247236631766575E-2"/>
          <c:y val="8.0135658078232155E-2"/>
          <c:w val="0.91314094525731526"/>
          <c:h val="0.86888090782579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なす!$A$116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なす!$B$115:$AR$115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なす!$B$116:$AR$116</c:f>
              <c:numCache>
                <c:formatCode>#,##0_);[Red]\(#,##0\)</c:formatCode>
                <c:ptCount val="43"/>
                <c:pt idx="0">
                  <c:v>65.852000000000004</c:v>
                </c:pt>
                <c:pt idx="1">
                  <c:v>51.67</c:v>
                </c:pt>
                <c:pt idx="2">
                  <c:v>72.381</c:v>
                </c:pt>
                <c:pt idx="3">
                  <c:v>33.042999999999999</c:v>
                </c:pt>
                <c:pt idx="4">
                  <c:v>47.832000000000001</c:v>
                </c:pt>
                <c:pt idx="5">
                  <c:v>56.841000000000001</c:v>
                </c:pt>
                <c:pt idx="6">
                  <c:v>49.89</c:v>
                </c:pt>
                <c:pt idx="7">
                  <c:v>63.956000000000003</c:v>
                </c:pt>
                <c:pt idx="8">
                  <c:v>40.93</c:v>
                </c:pt>
                <c:pt idx="9">
                  <c:v>45.009</c:v>
                </c:pt>
                <c:pt idx="10">
                  <c:v>62.351999999999997</c:v>
                </c:pt>
                <c:pt idx="11">
                  <c:v>60.161000000000001</c:v>
                </c:pt>
                <c:pt idx="12">
                  <c:v>80.444999999999993</c:v>
                </c:pt>
                <c:pt idx="13">
                  <c:v>45.826999999999998</c:v>
                </c:pt>
                <c:pt idx="14">
                  <c:v>52.475999999999999</c:v>
                </c:pt>
                <c:pt idx="15">
                  <c:v>72.528999999999996</c:v>
                </c:pt>
                <c:pt idx="16">
                  <c:v>58.854999999999997</c:v>
                </c:pt>
                <c:pt idx="17">
                  <c:v>80.921000000000006</c:v>
                </c:pt>
                <c:pt idx="18">
                  <c:v>40.783999999999999</c:v>
                </c:pt>
                <c:pt idx="19">
                  <c:v>46.902000000000001</c:v>
                </c:pt>
                <c:pt idx="20">
                  <c:v>42.963000000000001</c:v>
                </c:pt>
                <c:pt idx="21">
                  <c:v>43.911000000000001</c:v>
                </c:pt>
                <c:pt idx="22">
                  <c:v>64.665000000000006</c:v>
                </c:pt>
                <c:pt idx="23">
                  <c:v>25.135999999999999</c:v>
                </c:pt>
                <c:pt idx="24">
                  <c:v>38.472999999999999</c:v>
                </c:pt>
                <c:pt idx="25">
                  <c:v>39.901000000000003</c:v>
                </c:pt>
                <c:pt idx="26">
                  <c:v>34.106000000000002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1-4326-A91D-A6235B1E4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なす!$A$117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なす!$B$115:$AR$115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なす!$B$117:$AR$117</c:f>
              <c:numCache>
                <c:formatCode>#,##0_);[Red]\(#,##0\)</c:formatCode>
                <c:ptCount val="43"/>
                <c:pt idx="0">
                  <c:v>369</c:v>
                </c:pt>
                <c:pt idx="1">
                  <c:v>319</c:v>
                </c:pt>
                <c:pt idx="2">
                  <c:v>354</c:v>
                </c:pt>
                <c:pt idx="3">
                  <c:v>377</c:v>
                </c:pt>
                <c:pt idx="4">
                  <c:v>346</c:v>
                </c:pt>
                <c:pt idx="5">
                  <c:v>386</c:v>
                </c:pt>
                <c:pt idx="6">
                  <c:v>387</c:v>
                </c:pt>
                <c:pt idx="7">
                  <c:v>370</c:v>
                </c:pt>
                <c:pt idx="8">
                  <c:v>347</c:v>
                </c:pt>
                <c:pt idx="9">
                  <c:v>365</c:v>
                </c:pt>
                <c:pt idx="10">
                  <c:v>411</c:v>
                </c:pt>
                <c:pt idx="11">
                  <c:v>400</c:v>
                </c:pt>
                <c:pt idx="12">
                  <c:v>374</c:v>
                </c:pt>
                <c:pt idx="13">
                  <c:v>365</c:v>
                </c:pt>
                <c:pt idx="14">
                  <c:v>379</c:v>
                </c:pt>
                <c:pt idx="15">
                  <c:v>355</c:v>
                </c:pt>
                <c:pt idx="16">
                  <c:v>376</c:v>
                </c:pt>
                <c:pt idx="17">
                  <c:v>365</c:v>
                </c:pt>
                <c:pt idx="18">
                  <c:v>370</c:v>
                </c:pt>
                <c:pt idx="19">
                  <c:v>355</c:v>
                </c:pt>
                <c:pt idx="20">
                  <c:v>378</c:v>
                </c:pt>
                <c:pt idx="21">
                  <c:v>372</c:v>
                </c:pt>
                <c:pt idx="22">
                  <c:v>359</c:v>
                </c:pt>
                <c:pt idx="23">
                  <c:v>341</c:v>
                </c:pt>
                <c:pt idx="24">
                  <c:v>346</c:v>
                </c:pt>
                <c:pt idx="25">
                  <c:v>383</c:v>
                </c:pt>
                <c:pt idx="26">
                  <c:v>403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D1-4326-A91D-A6235B1E40CE}"/>
            </c:ext>
          </c:extLst>
        </c:ser>
        <c:ser>
          <c:idx val="2"/>
          <c:order val="2"/>
          <c:tx>
            <c:strRef>
              <c:f>なす!$A$118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なす!$B$115:$AR$115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なす!$B$118:$AR$118</c:f>
              <c:numCache>
                <c:formatCode>#,##0_);[Red]\(#,##0\)</c:formatCode>
                <c:ptCount val="43"/>
                <c:pt idx="0">
                  <c:v>366</c:v>
                </c:pt>
                <c:pt idx="1">
                  <c:v>366</c:v>
                </c:pt>
                <c:pt idx="2">
                  <c:v>366</c:v>
                </c:pt>
                <c:pt idx="3">
                  <c:v>366</c:v>
                </c:pt>
                <c:pt idx="4">
                  <c:v>366</c:v>
                </c:pt>
                <c:pt idx="5">
                  <c:v>366</c:v>
                </c:pt>
                <c:pt idx="6">
                  <c:v>366</c:v>
                </c:pt>
                <c:pt idx="7">
                  <c:v>359</c:v>
                </c:pt>
                <c:pt idx="8">
                  <c:v>359</c:v>
                </c:pt>
                <c:pt idx="9">
                  <c:v>359</c:v>
                </c:pt>
                <c:pt idx="10">
                  <c:v>359</c:v>
                </c:pt>
                <c:pt idx="11">
                  <c:v>359</c:v>
                </c:pt>
                <c:pt idx="12">
                  <c:v>359</c:v>
                </c:pt>
                <c:pt idx="13">
                  <c:v>359</c:v>
                </c:pt>
                <c:pt idx="14">
                  <c:v>359</c:v>
                </c:pt>
                <c:pt idx="15">
                  <c:v>327</c:v>
                </c:pt>
                <c:pt idx="16">
                  <c:v>327</c:v>
                </c:pt>
                <c:pt idx="17">
                  <c:v>327</c:v>
                </c:pt>
                <c:pt idx="18">
                  <c:v>327</c:v>
                </c:pt>
                <c:pt idx="19">
                  <c:v>327</c:v>
                </c:pt>
                <c:pt idx="20">
                  <c:v>327</c:v>
                </c:pt>
                <c:pt idx="21">
                  <c:v>327</c:v>
                </c:pt>
                <c:pt idx="22">
                  <c:v>297</c:v>
                </c:pt>
                <c:pt idx="23">
                  <c:v>297</c:v>
                </c:pt>
                <c:pt idx="24">
                  <c:v>297</c:v>
                </c:pt>
                <c:pt idx="25">
                  <c:v>297</c:v>
                </c:pt>
                <c:pt idx="26">
                  <c:v>297</c:v>
                </c:pt>
                <c:pt idx="27">
                  <c:v>297</c:v>
                </c:pt>
                <c:pt idx="28">
                  <c:v>297</c:v>
                </c:pt>
                <c:pt idx="29">
                  <c:v>319</c:v>
                </c:pt>
                <c:pt idx="30">
                  <c:v>319</c:v>
                </c:pt>
                <c:pt idx="31">
                  <c:v>319</c:v>
                </c:pt>
                <c:pt idx="32">
                  <c:v>319</c:v>
                </c:pt>
                <c:pt idx="33">
                  <c:v>319</c:v>
                </c:pt>
                <c:pt idx="34">
                  <c:v>319</c:v>
                </c:pt>
                <c:pt idx="35">
                  <c:v>332</c:v>
                </c:pt>
                <c:pt idx="36">
                  <c:v>332</c:v>
                </c:pt>
                <c:pt idx="37">
                  <c:v>332</c:v>
                </c:pt>
                <c:pt idx="38">
                  <c:v>332</c:v>
                </c:pt>
                <c:pt idx="39">
                  <c:v>332</c:v>
                </c:pt>
                <c:pt idx="40">
                  <c:v>332</c:v>
                </c:pt>
                <c:pt idx="41">
                  <c:v>332</c:v>
                </c:pt>
                <c:pt idx="42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D1-4326-A91D-A6235B1E4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530528"/>
        <c:axId val="1"/>
      </c:lineChart>
      <c:catAx>
        <c:axId val="959530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953052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212007740091111"/>
          <c:y val="1.7932366329594771E-3"/>
          <c:w val="0.26802308713553818"/>
          <c:h val="8.10760380781997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971732437727398E-2"/>
          <c:y val="9.2822701376229041E-2"/>
          <c:w val="0.91322826193332862"/>
          <c:h val="0.851241354116023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なす!$A$156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なす!$B$155:$AR$155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なす!$B$156:$AR$156</c:f>
              <c:numCache>
                <c:formatCode>#,##0_);[Red]\(#,##0\)</c:formatCode>
                <c:ptCount val="43"/>
                <c:pt idx="0">
                  <c:v>24.914000000000001</c:v>
                </c:pt>
                <c:pt idx="1">
                  <c:v>29.204999999999998</c:v>
                </c:pt>
                <c:pt idx="2">
                  <c:v>37.067999999999998</c:v>
                </c:pt>
                <c:pt idx="3">
                  <c:v>18.451000000000001</c:v>
                </c:pt>
                <c:pt idx="4">
                  <c:v>27.094999999999999</c:v>
                </c:pt>
                <c:pt idx="5">
                  <c:v>25.073</c:v>
                </c:pt>
                <c:pt idx="6">
                  <c:v>28.498999999999999</c:v>
                </c:pt>
                <c:pt idx="7">
                  <c:v>35.192999999999998</c:v>
                </c:pt>
                <c:pt idx="8">
                  <c:v>21.905000000000001</c:v>
                </c:pt>
                <c:pt idx="9">
                  <c:v>23.108000000000001</c:v>
                </c:pt>
                <c:pt idx="10">
                  <c:v>33.557000000000002</c:v>
                </c:pt>
                <c:pt idx="11">
                  <c:v>37.207999999999998</c:v>
                </c:pt>
                <c:pt idx="12">
                  <c:v>49.01</c:v>
                </c:pt>
                <c:pt idx="13">
                  <c:v>39.106999999999999</c:v>
                </c:pt>
                <c:pt idx="14">
                  <c:v>38.143999999999998</c:v>
                </c:pt>
                <c:pt idx="15">
                  <c:v>47.606999999999999</c:v>
                </c:pt>
                <c:pt idx="16">
                  <c:v>39.451000000000001</c:v>
                </c:pt>
                <c:pt idx="17">
                  <c:v>33.936</c:v>
                </c:pt>
                <c:pt idx="18">
                  <c:v>16.474</c:v>
                </c:pt>
                <c:pt idx="19">
                  <c:v>19.765000000000001</c:v>
                </c:pt>
                <c:pt idx="20">
                  <c:v>23.841999999999999</c:v>
                </c:pt>
                <c:pt idx="21">
                  <c:v>22.048999999999999</c:v>
                </c:pt>
                <c:pt idx="22">
                  <c:v>31.318999999999999</c:v>
                </c:pt>
                <c:pt idx="23">
                  <c:v>25.501000000000001</c:v>
                </c:pt>
                <c:pt idx="24">
                  <c:v>27.213999999999999</c:v>
                </c:pt>
                <c:pt idx="25">
                  <c:v>32.76</c:v>
                </c:pt>
                <c:pt idx="26">
                  <c:v>23.523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A-4796-BA6D-6193C6E60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なす!$A$157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なす!$B$155:$AR$155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なす!$B$157:$AR$157</c:f>
              <c:numCache>
                <c:formatCode>#,##0_);[Red]\(#,##0\)</c:formatCode>
                <c:ptCount val="43"/>
                <c:pt idx="0">
                  <c:v>375</c:v>
                </c:pt>
                <c:pt idx="1">
                  <c:v>380</c:v>
                </c:pt>
                <c:pt idx="2">
                  <c:v>373</c:v>
                </c:pt>
                <c:pt idx="3">
                  <c:v>363</c:v>
                </c:pt>
                <c:pt idx="4">
                  <c:v>372</c:v>
                </c:pt>
                <c:pt idx="5">
                  <c:v>372</c:v>
                </c:pt>
                <c:pt idx="6">
                  <c:v>382</c:v>
                </c:pt>
                <c:pt idx="7">
                  <c:v>342</c:v>
                </c:pt>
                <c:pt idx="8">
                  <c:v>353</c:v>
                </c:pt>
                <c:pt idx="9">
                  <c:v>370</c:v>
                </c:pt>
                <c:pt idx="10">
                  <c:v>382</c:v>
                </c:pt>
                <c:pt idx="11">
                  <c:v>386</c:v>
                </c:pt>
                <c:pt idx="12">
                  <c:v>340</c:v>
                </c:pt>
                <c:pt idx="13">
                  <c:v>356</c:v>
                </c:pt>
                <c:pt idx="14">
                  <c:v>315</c:v>
                </c:pt>
                <c:pt idx="15">
                  <c:v>308</c:v>
                </c:pt>
                <c:pt idx="16">
                  <c:v>301</c:v>
                </c:pt>
                <c:pt idx="17">
                  <c:v>294</c:v>
                </c:pt>
                <c:pt idx="18">
                  <c:v>337</c:v>
                </c:pt>
                <c:pt idx="19">
                  <c:v>301</c:v>
                </c:pt>
                <c:pt idx="20">
                  <c:v>276</c:v>
                </c:pt>
                <c:pt idx="21">
                  <c:v>325</c:v>
                </c:pt>
                <c:pt idx="22">
                  <c:v>338</c:v>
                </c:pt>
                <c:pt idx="23">
                  <c:v>366</c:v>
                </c:pt>
                <c:pt idx="24">
                  <c:v>327</c:v>
                </c:pt>
                <c:pt idx="25">
                  <c:v>361</c:v>
                </c:pt>
                <c:pt idx="26">
                  <c:v>322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A-4796-BA6D-6193C6E60885}"/>
            </c:ext>
          </c:extLst>
        </c:ser>
        <c:ser>
          <c:idx val="2"/>
          <c:order val="2"/>
          <c:tx>
            <c:strRef>
              <c:f>なす!$A$158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なす!$B$155:$AR$155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なす!$B$158:$AR$158</c:f>
              <c:numCache>
                <c:formatCode>#,##0_);[Red]\(#,##0\)</c:formatCode>
                <c:ptCount val="43"/>
                <c:pt idx="0">
                  <c:v>349</c:v>
                </c:pt>
                <c:pt idx="1">
                  <c:v>349</c:v>
                </c:pt>
                <c:pt idx="2">
                  <c:v>349</c:v>
                </c:pt>
                <c:pt idx="3">
                  <c:v>349</c:v>
                </c:pt>
                <c:pt idx="4">
                  <c:v>349</c:v>
                </c:pt>
                <c:pt idx="5">
                  <c:v>349</c:v>
                </c:pt>
                <c:pt idx="6">
                  <c:v>349</c:v>
                </c:pt>
                <c:pt idx="7">
                  <c:v>330</c:v>
                </c:pt>
                <c:pt idx="8">
                  <c:v>330</c:v>
                </c:pt>
                <c:pt idx="9">
                  <c:v>330</c:v>
                </c:pt>
                <c:pt idx="10">
                  <c:v>330</c:v>
                </c:pt>
                <c:pt idx="11">
                  <c:v>330</c:v>
                </c:pt>
                <c:pt idx="12">
                  <c:v>330</c:v>
                </c:pt>
                <c:pt idx="13">
                  <c:v>330</c:v>
                </c:pt>
                <c:pt idx="14">
                  <c:v>330</c:v>
                </c:pt>
                <c:pt idx="15">
                  <c:v>272</c:v>
                </c:pt>
                <c:pt idx="16">
                  <c:v>272</c:v>
                </c:pt>
                <c:pt idx="17">
                  <c:v>272</c:v>
                </c:pt>
                <c:pt idx="18">
                  <c:v>272</c:v>
                </c:pt>
                <c:pt idx="19">
                  <c:v>272</c:v>
                </c:pt>
                <c:pt idx="20">
                  <c:v>272</c:v>
                </c:pt>
                <c:pt idx="21">
                  <c:v>272</c:v>
                </c:pt>
                <c:pt idx="22">
                  <c:v>253</c:v>
                </c:pt>
                <c:pt idx="23">
                  <c:v>253</c:v>
                </c:pt>
                <c:pt idx="24">
                  <c:v>253</c:v>
                </c:pt>
                <c:pt idx="25">
                  <c:v>253</c:v>
                </c:pt>
                <c:pt idx="26">
                  <c:v>253</c:v>
                </c:pt>
                <c:pt idx="27">
                  <c:v>253</c:v>
                </c:pt>
                <c:pt idx="28">
                  <c:v>253</c:v>
                </c:pt>
                <c:pt idx="29">
                  <c:v>315</c:v>
                </c:pt>
                <c:pt idx="30">
                  <c:v>315</c:v>
                </c:pt>
                <c:pt idx="31">
                  <c:v>315</c:v>
                </c:pt>
                <c:pt idx="32">
                  <c:v>315</c:v>
                </c:pt>
                <c:pt idx="33">
                  <c:v>315</c:v>
                </c:pt>
                <c:pt idx="34">
                  <c:v>315</c:v>
                </c:pt>
                <c:pt idx="35">
                  <c:v>364</c:v>
                </c:pt>
                <c:pt idx="36">
                  <c:v>364</c:v>
                </c:pt>
                <c:pt idx="37">
                  <c:v>364</c:v>
                </c:pt>
                <c:pt idx="38">
                  <c:v>364</c:v>
                </c:pt>
                <c:pt idx="39">
                  <c:v>364</c:v>
                </c:pt>
                <c:pt idx="40">
                  <c:v>364</c:v>
                </c:pt>
                <c:pt idx="41">
                  <c:v>364</c:v>
                </c:pt>
                <c:pt idx="42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8A-4796-BA6D-6193C6E60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532608"/>
        <c:axId val="1"/>
      </c:lineChart>
      <c:catAx>
        <c:axId val="95953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953260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264935440454581"/>
          <c:y val="1.7932362739445191E-3"/>
          <c:w val="0.26958789665030991"/>
          <c:h val="9.124643635082326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974526743485047E-2"/>
          <c:y val="7.7061974682127304E-2"/>
          <c:w val="0.91206889417582104"/>
          <c:h val="0.87475899218577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ピーマン!$A$36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ピーマン!$B$35:$AR$35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ピーマン!$B$36:$AR$36</c:f>
              <c:numCache>
                <c:formatCode>#,##0_);[Red]\(#,##0\)</c:formatCode>
                <c:ptCount val="43"/>
                <c:pt idx="0">
                  <c:v>142.03399999999999</c:v>
                </c:pt>
                <c:pt idx="1">
                  <c:v>96.355999999999995</c:v>
                </c:pt>
                <c:pt idx="2">
                  <c:v>105.508</c:v>
                </c:pt>
                <c:pt idx="3">
                  <c:v>90.334000000000003</c:v>
                </c:pt>
                <c:pt idx="4">
                  <c:v>96.923000000000002</c:v>
                </c:pt>
                <c:pt idx="5">
                  <c:v>170.55699999999999</c:v>
                </c:pt>
                <c:pt idx="6">
                  <c:v>114.79600000000001</c:v>
                </c:pt>
                <c:pt idx="7">
                  <c:v>160.191</c:v>
                </c:pt>
                <c:pt idx="8">
                  <c:v>99.608000000000004</c:v>
                </c:pt>
                <c:pt idx="9">
                  <c:v>89.766999999999996</c:v>
                </c:pt>
                <c:pt idx="10">
                  <c:v>131.214</c:v>
                </c:pt>
                <c:pt idx="11">
                  <c:v>72.596999999999994</c:v>
                </c:pt>
                <c:pt idx="12">
                  <c:v>128.68</c:v>
                </c:pt>
                <c:pt idx="13">
                  <c:v>73.671999999999997</c:v>
                </c:pt>
                <c:pt idx="14">
                  <c:v>77.643000000000001</c:v>
                </c:pt>
                <c:pt idx="15">
                  <c:v>107.20699999999999</c:v>
                </c:pt>
                <c:pt idx="16">
                  <c:v>66.281000000000006</c:v>
                </c:pt>
                <c:pt idx="17">
                  <c:v>119.369</c:v>
                </c:pt>
                <c:pt idx="18">
                  <c:v>74.900000000000006</c:v>
                </c:pt>
                <c:pt idx="19">
                  <c:v>74.265000000000001</c:v>
                </c:pt>
                <c:pt idx="20">
                  <c:v>86.861000000000004</c:v>
                </c:pt>
                <c:pt idx="21">
                  <c:v>70.900000000000006</c:v>
                </c:pt>
                <c:pt idx="22">
                  <c:v>112.187</c:v>
                </c:pt>
                <c:pt idx="23">
                  <c:v>65.734999999999999</c:v>
                </c:pt>
                <c:pt idx="24">
                  <c:v>70.39</c:v>
                </c:pt>
                <c:pt idx="25">
                  <c:v>102.548</c:v>
                </c:pt>
                <c:pt idx="26">
                  <c:v>73.161000000000001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A-4742-A1A0-410C21C3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ピーマン!$A$37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ピーマン!$B$35:$AR$35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ピーマン!$B$37:$AR$37</c:f>
              <c:numCache>
                <c:formatCode>#,##0_);[Red]\(#,##0\)</c:formatCode>
                <c:ptCount val="43"/>
                <c:pt idx="0">
                  <c:v>519</c:v>
                </c:pt>
                <c:pt idx="1">
                  <c:v>516</c:v>
                </c:pt>
                <c:pt idx="2">
                  <c:v>525</c:v>
                </c:pt>
                <c:pt idx="3">
                  <c:v>480</c:v>
                </c:pt>
                <c:pt idx="4">
                  <c:v>492</c:v>
                </c:pt>
                <c:pt idx="5">
                  <c:v>459</c:v>
                </c:pt>
                <c:pt idx="6">
                  <c:v>434</c:v>
                </c:pt>
                <c:pt idx="7">
                  <c:v>434</c:v>
                </c:pt>
                <c:pt idx="8">
                  <c:v>395</c:v>
                </c:pt>
                <c:pt idx="9">
                  <c:v>419</c:v>
                </c:pt>
                <c:pt idx="10">
                  <c:v>433</c:v>
                </c:pt>
                <c:pt idx="11">
                  <c:v>445</c:v>
                </c:pt>
                <c:pt idx="12">
                  <c:v>459</c:v>
                </c:pt>
                <c:pt idx="13">
                  <c:v>450</c:v>
                </c:pt>
                <c:pt idx="14">
                  <c:v>464</c:v>
                </c:pt>
                <c:pt idx="15">
                  <c:v>479</c:v>
                </c:pt>
                <c:pt idx="16">
                  <c:v>498</c:v>
                </c:pt>
                <c:pt idx="17">
                  <c:v>523</c:v>
                </c:pt>
                <c:pt idx="18">
                  <c:v>512</c:v>
                </c:pt>
                <c:pt idx="19">
                  <c:v>521</c:v>
                </c:pt>
                <c:pt idx="20">
                  <c:v>561</c:v>
                </c:pt>
                <c:pt idx="21">
                  <c:v>562</c:v>
                </c:pt>
                <c:pt idx="22">
                  <c:v>577</c:v>
                </c:pt>
                <c:pt idx="23">
                  <c:v>580</c:v>
                </c:pt>
                <c:pt idx="24">
                  <c:v>585</c:v>
                </c:pt>
                <c:pt idx="25">
                  <c:v>603</c:v>
                </c:pt>
                <c:pt idx="26">
                  <c:v>594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A-4742-A1A0-410C21C3339F}"/>
            </c:ext>
          </c:extLst>
        </c:ser>
        <c:ser>
          <c:idx val="2"/>
          <c:order val="2"/>
          <c:tx>
            <c:strRef>
              <c:f>ピーマン!$A$38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ピーマン!$B$35:$AR$35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ピーマン!$B$38:$AR$38</c:f>
              <c:numCache>
                <c:formatCode>#,##0_);[Red]\(#,##0\)</c:formatCode>
                <c:ptCount val="43"/>
                <c:pt idx="0">
                  <c:v>464</c:v>
                </c:pt>
                <c:pt idx="1">
                  <c:v>464</c:v>
                </c:pt>
                <c:pt idx="2">
                  <c:v>464</c:v>
                </c:pt>
                <c:pt idx="3">
                  <c:v>464</c:v>
                </c:pt>
                <c:pt idx="4">
                  <c:v>464</c:v>
                </c:pt>
                <c:pt idx="5">
                  <c:v>464</c:v>
                </c:pt>
                <c:pt idx="6">
                  <c:v>464</c:v>
                </c:pt>
                <c:pt idx="7">
                  <c:v>498</c:v>
                </c:pt>
                <c:pt idx="8">
                  <c:v>498</c:v>
                </c:pt>
                <c:pt idx="9">
                  <c:v>498</c:v>
                </c:pt>
                <c:pt idx="10">
                  <c:v>498</c:v>
                </c:pt>
                <c:pt idx="11">
                  <c:v>498</c:v>
                </c:pt>
                <c:pt idx="12">
                  <c:v>498</c:v>
                </c:pt>
                <c:pt idx="13">
                  <c:v>498</c:v>
                </c:pt>
                <c:pt idx="14">
                  <c:v>498</c:v>
                </c:pt>
                <c:pt idx="15">
                  <c:v>458</c:v>
                </c:pt>
                <c:pt idx="16">
                  <c:v>458</c:v>
                </c:pt>
                <c:pt idx="17">
                  <c:v>458</c:v>
                </c:pt>
                <c:pt idx="18">
                  <c:v>458</c:v>
                </c:pt>
                <c:pt idx="19">
                  <c:v>458</c:v>
                </c:pt>
                <c:pt idx="20">
                  <c:v>458</c:v>
                </c:pt>
                <c:pt idx="21">
                  <c:v>458</c:v>
                </c:pt>
                <c:pt idx="22">
                  <c:v>436</c:v>
                </c:pt>
                <c:pt idx="23">
                  <c:v>436</c:v>
                </c:pt>
                <c:pt idx="24">
                  <c:v>436</c:v>
                </c:pt>
                <c:pt idx="25">
                  <c:v>436</c:v>
                </c:pt>
                <c:pt idx="26">
                  <c:v>436</c:v>
                </c:pt>
                <c:pt idx="27">
                  <c:v>436</c:v>
                </c:pt>
                <c:pt idx="28">
                  <c:v>436</c:v>
                </c:pt>
                <c:pt idx="29">
                  <c:v>453</c:v>
                </c:pt>
                <c:pt idx="30">
                  <c:v>453</c:v>
                </c:pt>
                <c:pt idx="31">
                  <c:v>453</c:v>
                </c:pt>
                <c:pt idx="32">
                  <c:v>453</c:v>
                </c:pt>
                <c:pt idx="33">
                  <c:v>453</c:v>
                </c:pt>
                <c:pt idx="34">
                  <c:v>453</c:v>
                </c:pt>
                <c:pt idx="35">
                  <c:v>460</c:v>
                </c:pt>
                <c:pt idx="36">
                  <c:v>460</c:v>
                </c:pt>
                <c:pt idx="37">
                  <c:v>460</c:v>
                </c:pt>
                <c:pt idx="38">
                  <c:v>460</c:v>
                </c:pt>
                <c:pt idx="39">
                  <c:v>460</c:v>
                </c:pt>
                <c:pt idx="40">
                  <c:v>460</c:v>
                </c:pt>
                <c:pt idx="41">
                  <c:v>460</c:v>
                </c:pt>
                <c:pt idx="42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9A-4742-A1A0-410C21C3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536352"/>
        <c:axId val="1"/>
      </c:lineChart>
      <c:catAx>
        <c:axId val="959536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9536352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945453970716251"/>
          <c:y val="6.2951024424071371E-4"/>
          <c:w val="0.26161138536953182"/>
          <c:h val="7.3619788254185692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124315588195595E-2"/>
          <c:y val="7.2156422388629474E-2"/>
          <c:w val="0.91293902494793167"/>
          <c:h val="0.868431349206349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ピーマン!$A$76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ピーマン!$B$75:$AR$75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ピーマン!$B$76:$AR$76</c:f>
              <c:numCache>
                <c:formatCode>#,##0_);[Red]\(#,##0\)</c:formatCode>
                <c:ptCount val="43"/>
                <c:pt idx="0">
                  <c:v>32.106999999999999</c:v>
                </c:pt>
                <c:pt idx="1">
                  <c:v>21.478999999999999</c:v>
                </c:pt>
                <c:pt idx="2">
                  <c:v>23.931000000000001</c:v>
                </c:pt>
                <c:pt idx="3">
                  <c:v>14.159000000000001</c:v>
                </c:pt>
                <c:pt idx="4">
                  <c:v>17.556999999999999</c:v>
                </c:pt>
                <c:pt idx="5">
                  <c:v>31.734000000000002</c:v>
                </c:pt>
                <c:pt idx="6">
                  <c:v>22.22</c:v>
                </c:pt>
                <c:pt idx="7">
                  <c:v>27.155999999999999</c:v>
                </c:pt>
                <c:pt idx="8">
                  <c:v>24.707999999999998</c:v>
                </c:pt>
                <c:pt idx="9">
                  <c:v>18.395</c:v>
                </c:pt>
                <c:pt idx="10">
                  <c:v>35.850999999999999</c:v>
                </c:pt>
                <c:pt idx="11">
                  <c:v>15.196</c:v>
                </c:pt>
                <c:pt idx="12">
                  <c:v>26.373000000000001</c:v>
                </c:pt>
                <c:pt idx="13">
                  <c:v>18.062999999999999</c:v>
                </c:pt>
                <c:pt idx="14">
                  <c:v>18.279</c:v>
                </c:pt>
                <c:pt idx="15">
                  <c:v>25.992999999999999</c:v>
                </c:pt>
                <c:pt idx="16">
                  <c:v>16.785</c:v>
                </c:pt>
                <c:pt idx="17">
                  <c:v>24.57</c:v>
                </c:pt>
                <c:pt idx="18">
                  <c:v>15.334</c:v>
                </c:pt>
                <c:pt idx="19">
                  <c:v>18.616</c:v>
                </c:pt>
                <c:pt idx="20">
                  <c:v>17.738</c:v>
                </c:pt>
                <c:pt idx="21">
                  <c:v>13.631</c:v>
                </c:pt>
                <c:pt idx="22">
                  <c:v>22.54</c:v>
                </c:pt>
                <c:pt idx="23">
                  <c:v>16.789000000000001</c:v>
                </c:pt>
                <c:pt idx="24">
                  <c:v>18.876999999999999</c:v>
                </c:pt>
                <c:pt idx="25">
                  <c:v>20.282</c:v>
                </c:pt>
                <c:pt idx="26">
                  <c:v>19.337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9-450E-A883-1424B5D98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ピーマン!$A$77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ピーマン!$B$75:$AR$75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ピーマン!$B$77:$AR$77</c:f>
              <c:numCache>
                <c:formatCode>#,##0_);[Red]\(#,##0\)</c:formatCode>
                <c:ptCount val="43"/>
                <c:pt idx="0">
                  <c:v>388</c:v>
                </c:pt>
                <c:pt idx="1">
                  <c:v>421</c:v>
                </c:pt>
                <c:pt idx="2">
                  <c:v>430</c:v>
                </c:pt>
                <c:pt idx="3">
                  <c:v>531</c:v>
                </c:pt>
                <c:pt idx="4">
                  <c:v>504</c:v>
                </c:pt>
                <c:pt idx="5">
                  <c:v>379</c:v>
                </c:pt>
                <c:pt idx="6">
                  <c:v>421</c:v>
                </c:pt>
                <c:pt idx="7">
                  <c:v>404</c:v>
                </c:pt>
                <c:pt idx="8">
                  <c:v>376</c:v>
                </c:pt>
                <c:pt idx="9">
                  <c:v>450</c:v>
                </c:pt>
                <c:pt idx="10">
                  <c:v>386</c:v>
                </c:pt>
                <c:pt idx="11">
                  <c:v>506</c:v>
                </c:pt>
                <c:pt idx="12">
                  <c:v>459</c:v>
                </c:pt>
                <c:pt idx="13">
                  <c:v>476</c:v>
                </c:pt>
                <c:pt idx="14">
                  <c:v>481</c:v>
                </c:pt>
                <c:pt idx="15">
                  <c:v>447</c:v>
                </c:pt>
                <c:pt idx="16">
                  <c:v>490</c:v>
                </c:pt>
                <c:pt idx="17">
                  <c:v>472</c:v>
                </c:pt>
                <c:pt idx="18">
                  <c:v>496</c:v>
                </c:pt>
                <c:pt idx="19">
                  <c:v>521</c:v>
                </c:pt>
                <c:pt idx="20">
                  <c:v>529</c:v>
                </c:pt>
                <c:pt idx="21">
                  <c:v>582</c:v>
                </c:pt>
                <c:pt idx="22">
                  <c:v>575</c:v>
                </c:pt>
                <c:pt idx="23">
                  <c:v>570</c:v>
                </c:pt>
                <c:pt idx="24">
                  <c:v>586</c:v>
                </c:pt>
                <c:pt idx="25">
                  <c:v>610</c:v>
                </c:pt>
                <c:pt idx="26">
                  <c:v>603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9-450E-A883-1424B5D98338}"/>
            </c:ext>
          </c:extLst>
        </c:ser>
        <c:ser>
          <c:idx val="2"/>
          <c:order val="2"/>
          <c:tx>
            <c:strRef>
              <c:f>ピーマン!$A$78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ピーマン!$B$75:$AR$75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ピーマン!$B$78:$AR$78</c:f>
              <c:numCache>
                <c:formatCode>#,##0_);[Red]\(#,##0\)</c:formatCode>
                <c:ptCount val="43"/>
                <c:pt idx="0">
                  <c:v>420</c:v>
                </c:pt>
                <c:pt idx="1">
                  <c:v>420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456</c:v>
                </c:pt>
                <c:pt idx="8">
                  <c:v>456</c:v>
                </c:pt>
                <c:pt idx="9">
                  <c:v>456</c:v>
                </c:pt>
                <c:pt idx="10">
                  <c:v>456</c:v>
                </c:pt>
                <c:pt idx="11">
                  <c:v>456</c:v>
                </c:pt>
                <c:pt idx="12">
                  <c:v>456</c:v>
                </c:pt>
                <c:pt idx="13">
                  <c:v>456</c:v>
                </c:pt>
                <c:pt idx="14">
                  <c:v>456</c:v>
                </c:pt>
                <c:pt idx="15">
                  <c:v>456</c:v>
                </c:pt>
                <c:pt idx="16">
                  <c:v>456</c:v>
                </c:pt>
                <c:pt idx="17">
                  <c:v>456</c:v>
                </c:pt>
                <c:pt idx="18">
                  <c:v>456</c:v>
                </c:pt>
                <c:pt idx="19">
                  <c:v>456</c:v>
                </c:pt>
                <c:pt idx="20">
                  <c:v>456</c:v>
                </c:pt>
                <c:pt idx="21">
                  <c:v>456</c:v>
                </c:pt>
                <c:pt idx="22">
                  <c:v>438</c:v>
                </c:pt>
                <c:pt idx="23">
                  <c:v>438</c:v>
                </c:pt>
                <c:pt idx="24">
                  <c:v>438</c:v>
                </c:pt>
                <c:pt idx="25">
                  <c:v>438</c:v>
                </c:pt>
                <c:pt idx="26">
                  <c:v>438</c:v>
                </c:pt>
                <c:pt idx="27">
                  <c:v>438</c:v>
                </c:pt>
                <c:pt idx="28">
                  <c:v>438</c:v>
                </c:pt>
                <c:pt idx="29">
                  <c:v>461</c:v>
                </c:pt>
                <c:pt idx="30">
                  <c:v>461</c:v>
                </c:pt>
                <c:pt idx="31">
                  <c:v>461</c:v>
                </c:pt>
                <c:pt idx="32">
                  <c:v>461</c:v>
                </c:pt>
                <c:pt idx="33">
                  <c:v>461</c:v>
                </c:pt>
                <c:pt idx="34">
                  <c:v>461</c:v>
                </c:pt>
                <c:pt idx="35">
                  <c:v>468</c:v>
                </c:pt>
                <c:pt idx="36">
                  <c:v>468</c:v>
                </c:pt>
                <c:pt idx="37">
                  <c:v>468</c:v>
                </c:pt>
                <c:pt idx="38">
                  <c:v>468</c:v>
                </c:pt>
                <c:pt idx="39">
                  <c:v>468</c:v>
                </c:pt>
                <c:pt idx="40">
                  <c:v>468</c:v>
                </c:pt>
                <c:pt idx="41">
                  <c:v>468</c:v>
                </c:pt>
                <c:pt idx="42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29-450E-A883-1424B5D98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713184"/>
        <c:axId val="1"/>
      </c:lineChart>
      <c:catAx>
        <c:axId val="95971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971318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458029135271785"/>
          <c:y val="2.0464175846578638E-3"/>
          <c:w val="0.26413932091599668"/>
          <c:h val="7.809495027199298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880660619677058E-2"/>
          <c:y val="8.5132996012986226E-2"/>
          <c:w val="0.91214089996465131"/>
          <c:h val="0.86338995776294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ピーマン!$A$116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ピーマン!$B$115:$AR$115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ピーマン!$B$116:$AR$116</c:f>
              <c:numCache>
                <c:formatCode>#,##0_);[Red]\(#,##0\)</c:formatCode>
                <c:ptCount val="43"/>
                <c:pt idx="0">
                  <c:v>42.332999999999998</c:v>
                </c:pt>
                <c:pt idx="1">
                  <c:v>31.61</c:v>
                </c:pt>
                <c:pt idx="2">
                  <c:v>26.311</c:v>
                </c:pt>
                <c:pt idx="3">
                  <c:v>27.863</c:v>
                </c:pt>
                <c:pt idx="4">
                  <c:v>30.655000000000001</c:v>
                </c:pt>
                <c:pt idx="5">
                  <c:v>43.154000000000003</c:v>
                </c:pt>
                <c:pt idx="6">
                  <c:v>31.635000000000002</c:v>
                </c:pt>
                <c:pt idx="7">
                  <c:v>45.91</c:v>
                </c:pt>
                <c:pt idx="8">
                  <c:v>32.161000000000001</c:v>
                </c:pt>
                <c:pt idx="9">
                  <c:v>33.676000000000002</c:v>
                </c:pt>
                <c:pt idx="10">
                  <c:v>35.268000000000001</c:v>
                </c:pt>
                <c:pt idx="11">
                  <c:v>25.446999999999999</c:v>
                </c:pt>
                <c:pt idx="12">
                  <c:v>35.139000000000003</c:v>
                </c:pt>
                <c:pt idx="13">
                  <c:v>22.234999999999999</c:v>
                </c:pt>
                <c:pt idx="14">
                  <c:v>35.116999999999997</c:v>
                </c:pt>
                <c:pt idx="15">
                  <c:v>39.225000000000001</c:v>
                </c:pt>
                <c:pt idx="16">
                  <c:v>24.76</c:v>
                </c:pt>
                <c:pt idx="17">
                  <c:v>36.052</c:v>
                </c:pt>
                <c:pt idx="18">
                  <c:v>20.899000000000001</c:v>
                </c:pt>
                <c:pt idx="19">
                  <c:v>20.57</c:v>
                </c:pt>
                <c:pt idx="20">
                  <c:v>23.574999999999999</c:v>
                </c:pt>
                <c:pt idx="21">
                  <c:v>19.077000000000002</c:v>
                </c:pt>
                <c:pt idx="22">
                  <c:v>29.120999999999999</c:v>
                </c:pt>
                <c:pt idx="23">
                  <c:v>20.411000000000001</c:v>
                </c:pt>
                <c:pt idx="24">
                  <c:v>27.827000000000002</c:v>
                </c:pt>
                <c:pt idx="25">
                  <c:v>32.720999999999997</c:v>
                </c:pt>
                <c:pt idx="26">
                  <c:v>23.75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B-472A-ADE6-FF6D0E638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ピーマン!$A$117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ピーマン!$B$115:$AR$115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ピーマン!$B$117:$AR$117</c:f>
              <c:numCache>
                <c:formatCode>#,##0_);[Red]\(#,##0\)</c:formatCode>
                <c:ptCount val="43"/>
                <c:pt idx="0">
                  <c:v>366</c:v>
                </c:pt>
                <c:pt idx="1">
                  <c:v>345</c:v>
                </c:pt>
                <c:pt idx="2">
                  <c:v>382</c:v>
                </c:pt>
                <c:pt idx="3">
                  <c:v>376</c:v>
                </c:pt>
                <c:pt idx="4">
                  <c:v>370</c:v>
                </c:pt>
                <c:pt idx="5">
                  <c:v>335</c:v>
                </c:pt>
                <c:pt idx="6">
                  <c:v>368</c:v>
                </c:pt>
                <c:pt idx="7">
                  <c:v>350</c:v>
                </c:pt>
                <c:pt idx="8">
                  <c:v>319</c:v>
                </c:pt>
                <c:pt idx="9">
                  <c:v>328</c:v>
                </c:pt>
                <c:pt idx="10">
                  <c:v>347</c:v>
                </c:pt>
                <c:pt idx="11">
                  <c:v>386</c:v>
                </c:pt>
                <c:pt idx="12">
                  <c:v>413</c:v>
                </c:pt>
                <c:pt idx="13">
                  <c:v>434</c:v>
                </c:pt>
                <c:pt idx="14">
                  <c:v>417</c:v>
                </c:pt>
                <c:pt idx="15">
                  <c:v>415</c:v>
                </c:pt>
                <c:pt idx="16">
                  <c:v>470</c:v>
                </c:pt>
                <c:pt idx="17">
                  <c:v>492</c:v>
                </c:pt>
                <c:pt idx="18">
                  <c:v>495</c:v>
                </c:pt>
                <c:pt idx="19">
                  <c:v>474</c:v>
                </c:pt>
                <c:pt idx="20">
                  <c:v>504</c:v>
                </c:pt>
                <c:pt idx="21">
                  <c:v>552</c:v>
                </c:pt>
                <c:pt idx="22">
                  <c:v>533</c:v>
                </c:pt>
                <c:pt idx="23">
                  <c:v>548</c:v>
                </c:pt>
                <c:pt idx="24">
                  <c:v>552</c:v>
                </c:pt>
                <c:pt idx="25">
                  <c:v>542</c:v>
                </c:pt>
                <c:pt idx="26">
                  <c:v>576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6B-472A-ADE6-FF6D0E6384C9}"/>
            </c:ext>
          </c:extLst>
        </c:ser>
        <c:ser>
          <c:idx val="2"/>
          <c:order val="2"/>
          <c:tx>
            <c:strRef>
              <c:f>ピーマン!$A$118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ピーマン!$B$115:$AR$115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ピーマン!$B$118:$AR$118</c:f>
              <c:numCache>
                <c:formatCode>#,##0_);[Red]\(#,##0\)</c:formatCode>
                <c:ptCount val="43"/>
                <c:pt idx="0">
                  <c:v>378</c:v>
                </c:pt>
                <c:pt idx="1">
                  <c:v>378</c:v>
                </c:pt>
                <c:pt idx="2">
                  <c:v>378</c:v>
                </c:pt>
                <c:pt idx="3">
                  <c:v>378</c:v>
                </c:pt>
                <c:pt idx="4">
                  <c:v>378</c:v>
                </c:pt>
                <c:pt idx="5">
                  <c:v>378</c:v>
                </c:pt>
                <c:pt idx="6">
                  <c:v>378</c:v>
                </c:pt>
                <c:pt idx="7">
                  <c:v>425</c:v>
                </c:pt>
                <c:pt idx="8">
                  <c:v>425</c:v>
                </c:pt>
                <c:pt idx="9">
                  <c:v>425</c:v>
                </c:pt>
                <c:pt idx="10">
                  <c:v>425</c:v>
                </c:pt>
                <c:pt idx="11">
                  <c:v>425</c:v>
                </c:pt>
                <c:pt idx="12">
                  <c:v>425</c:v>
                </c:pt>
                <c:pt idx="13">
                  <c:v>425</c:v>
                </c:pt>
                <c:pt idx="14">
                  <c:v>425</c:v>
                </c:pt>
                <c:pt idx="15">
                  <c:v>415</c:v>
                </c:pt>
                <c:pt idx="16">
                  <c:v>415</c:v>
                </c:pt>
                <c:pt idx="17">
                  <c:v>415</c:v>
                </c:pt>
                <c:pt idx="18">
                  <c:v>415</c:v>
                </c:pt>
                <c:pt idx="19">
                  <c:v>415</c:v>
                </c:pt>
                <c:pt idx="20">
                  <c:v>415</c:v>
                </c:pt>
                <c:pt idx="21">
                  <c:v>415</c:v>
                </c:pt>
                <c:pt idx="22">
                  <c:v>406</c:v>
                </c:pt>
                <c:pt idx="23">
                  <c:v>406</c:v>
                </c:pt>
                <c:pt idx="24">
                  <c:v>406</c:v>
                </c:pt>
                <c:pt idx="25">
                  <c:v>406</c:v>
                </c:pt>
                <c:pt idx="26">
                  <c:v>406</c:v>
                </c:pt>
                <c:pt idx="27">
                  <c:v>406</c:v>
                </c:pt>
                <c:pt idx="28">
                  <c:v>406</c:v>
                </c:pt>
                <c:pt idx="29">
                  <c:v>416</c:v>
                </c:pt>
                <c:pt idx="30">
                  <c:v>416</c:v>
                </c:pt>
                <c:pt idx="31">
                  <c:v>416</c:v>
                </c:pt>
                <c:pt idx="32">
                  <c:v>416</c:v>
                </c:pt>
                <c:pt idx="33">
                  <c:v>416</c:v>
                </c:pt>
                <c:pt idx="34">
                  <c:v>416</c:v>
                </c:pt>
                <c:pt idx="35">
                  <c:v>417</c:v>
                </c:pt>
                <c:pt idx="36">
                  <c:v>417</c:v>
                </c:pt>
                <c:pt idx="37">
                  <c:v>417</c:v>
                </c:pt>
                <c:pt idx="38">
                  <c:v>417</c:v>
                </c:pt>
                <c:pt idx="39">
                  <c:v>417</c:v>
                </c:pt>
                <c:pt idx="40">
                  <c:v>417</c:v>
                </c:pt>
                <c:pt idx="41">
                  <c:v>417</c:v>
                </c:pt>
                <c:pt idx="42">
                  <c:v>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6B-472A-ADE6-FF6D0E638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717344"/>
        <c:axId val="1"/>
      </c:lineChart>
      <c:catAx>
        <c:axId val="959717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971734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648311493827151"/>
          <c:y val="2.4135459370484675E-3"/>
          <c:w val="0.26318313397690007"/>
          <c:h val="8.0563932607717825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056579191553502E-2"/>
          <c:y val="7.4805143702676602E-2"/>
          <c:w val="0.90991435458221492"/>
          <c:h val="0.87546970715891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ピーマン!$A$156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ピーマン!$B$155:$AR$155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ピーマン!$B$156:$AR$156</c:f>
              <c:numCache>
                <c:formatCode>#,##0_);[Red]\(#,##0\)</c:formatCode>
                <c:ptCount val="43"/>
                <c:pt idx="0">
                  <c:v>18.631</c:v>
                </c:pt>
                <c:pt idx="1">
                  <c:v>14.167999999999999</c:v>
                </c:pt>
                <c:pt idx="2">
                  <c:v>26.321999999999999</c:v>
                </c:pt>
                <c:pt idx="3">
                  <c:v>21.062999999999999</c:v>
                </c:pt>
                <c:pt idx="4">
                  <c:v>25.588999999999999</c:v>
                </c:pt>
                <c:pt idx="5">
                  <c:v>28.771999999999998</c:v>
                </c:pt>
                <c:pt idx="6">
                  <c:v>34.015000000000001</c:v>
                </c:pt>
                <c:pt idx="7">
                  <c:v>28.132999999999999</c:v>
                </c:pt>
                <c:pt idx="8">
                  <c:v>21.852</c:v>
                </c:pt>
                <c:pt idx="9">
                  <c:v>24.372</c:v>
                </c:pt>
                <c:pt idx="10">
                  <c:v>13.718999999999999</c:v>
                </c:pt>
                <c:pt idx="11">
                  <c:v>16.564</c:v>
                </c:pt>
                <c:pt idx="12">
                  <c:v>20.052</c:v>
                </c:pt>
                <c:pt idx="13">
                  <c:v>14.144</c:v>
                </c:pt>
                <c:pt idx="14">
                  <c:v>19.68</c:v>
                </c:pt>
                <c:pt idx="15">
                  <c:v>16.385999999999999</c:v>
                </c:pt>
                <c:pt idx="16">
                  <c:v>18.581</c:v>
                </c:pt>
                <c:pt idx="17">
                  <c:v>19.870999999999999</c:v>
                </c:pt>
                <c:pt idx="18">
                  <c:v>17.042999999999999</c:v>
                </c:pt>
                <c:pt idx="19">
                  <c:v>18.702000000000002</c:v>
                </c:pt>
                <c:pt idx="20">
                  <c:v>12.904</c:v>
                </c:pt>
                <c:pt idx="21">
                  <c:v>13.074999999999999</c:v>
                </c:pt>
                <c:pt idx="22">
                  <c:v>18.54</c:v>
                </c:pt>
                <c:pt idx="23">
                  <c:v>12.836</c:v>
                </c:pt>
                <c:pt idx="24">
                  <c:v>15.851000000000001</c:v>
                </c:pt>
                <c:pt idx="25">
                  <c:v>14.294</c:v>
                </c:pt>
                <c:pt idx="26">
                  <c:v>17.692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4-4601-A82D-DD8BCBBE9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ピーマン!$A$157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ピーマン!$B$155:$AR$155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ピーマン!$B$157:$AR$157</c:f>
              <c:numCache>
                <c:formatCode>#,##0_);[Red]\(#,##0\)</c:formatCode>
                <c:ptCount val="43"/>
                <c:pt idx="0">
                  <c:v>359</c:v>
                </c:pt>
                <c:pt idx="1">
                  <c:v>425</c:v>
                </c:pt>
                <c:pt idx="2">
                  <c:v>434</c:v>
                </c:pt>
                <c:pt idx="3">
                  <c:v>422</c:v>
                </c:pt>
                <c:pt idx="4">
                  <c:v>331</c:v>
                </c:pt>
                <c:pt idx="5">
                  <c:v>306</c:v>
                </c:pt>
                <c:pt idx="6">
                  <c:v>301</c:v>
                </c:pt>
                <c:pt idx="7">
                  <c:v>339</c:v>
                </c:pt>
                <c:pt idx="8">
                  <c:v>359</c:v>
                </c:pt>
                <c:pt idx="9">
                  <c:v>348</c:v>
                </c:pt>
                <c:pt idx="10">
                  <c:v>432</c:v>
                </c:pt>
                <c:pt idx="11">
                  <c:v>405</c:v>
                </c:pt>
                <c:pt idx="12">
                  <c:v>437</c:v>
                </c:pt>
                <c:pt idx="13">
                  <c:v>423</c:v>
                </c:pt>
                <c:pt idx="14">
                  <c:v>461</c:v>
                </c:pt>
                <c:pt idx="15">
                  <c:v>447</c:v>
                </c:pt>
                <c:pt idx="16">
                  <c:v>454</c:v>
                </c:pt>
                <c:pt idx="17">
                  <c:v>462</c:v>
                </c:pt>
                <c:pt idx="18">
                  <c:v>454</c:v>
                </c:pt>
                <c:pt idx="19">
                  <c:v>458</c:v>
                </c:pt>
                <c:pt idx="20">
                  <c:v>476</c:v>
                </c:pt>
                <c:pt idx="21">
                  <c:v>490</c:v>
                </c:pt>
                <c:pt idx="22">
                  <c:v>498</c:v>
                </c:pt>
                <c:pt idx="23">
                  <c:v>499</c:v>
                </c:pt>
                <c:pt idx="24">
                  <c:v>533</c:v>
                </c:pt>
                <c:pt idx="25">
                  <c:v>526</c:v>
                </c:pt>
                <c:pt idx="26">
                  <c:v>530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4-4601-A82D-DD8BCBBE9ED3}"/>
            </c:ext>
          </c:extLst>
        </c:ser>
        <c:ser>
          <c:idx val="2"/>
          <c:order val="2"/>
          <c:tx>
            <c:strRef>
              <c:f>ピーマン!$A$158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ピーマン!$B$155:$AR$155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ピーマン!$B$158:$AR$158</c:f>
              <c:numCache>
                <c:formatCode>#,##0_);[Red]\(#,##0\)</c:formatCode>
                <c:ptCount val="43"/>
                <c:pt idx="0">
                  <c:v>374</c:v>
                </c:pt>
                <c:pt idx="1">
                  <c:v>374</c:v>
                </c:pt>
                <c:pt idx="2">
                  <c:v>374</c:v>
                </c:pt>
                <c:pt idx="3">
                  <c:v>374</c:v>
                </c:pt>
                <c:pt idx="4">
                  <c:v>374</c:v>
                </c:pt>
                <c:pt idx="5">
                  <c:v>374</c:v>
                </c:pt>
                <c:pt idx="6">
                  <c:v>374</c:v>
                </c:pt>
                <c:pt idx="7">
                  <c:v>384</c:v>
                </c:pt>
                <c:pt idx="8">
                  <c:v>384</c:v>
                </c:pt>
                <c:pt idx="9">
                  <c:v>384</c:v>
                </c:pt>
                <c:pt idx="10">
                  <c:v>384</c:v>
                </c:pt>
                <c:pt idx="11">
                  <c:v>384</c:v>
                </c:pt>
                <c:pt idx="12">
                  <c:v>384</c:v>
                </c:pt>
                <c:pt idx="13">
                  <c:v>384</c:v>
                </c:pt>
                <c:pt idx="14">
                  <c:v>384</c:v>
                </c:pt>
                <c:pt idx="15">
                  <c:v>393</c:v>
                </c:pt>
                <c:pt idx="16">
                  <c:v>393</c:v>
                </c:pt>
                <c:pt idx="17">
                  <c:v>393</c:v>
                </c:pt>
                <c:pt idx="18">
                  <c:v>393</c:v>
                </c:pt>
                <c:pt idx="19">
                  <c:v>393</c:v>
                </c:pt>
                <c:pt idx="20">
                  <c:v>393</c:v>
                </c:pt>
                <c:pt idx="21">
                  <c:v>393</c:v>
                </c:pt>
                <c:pt idx="22">
                  <c:v>374</c:v>
                </c:pt>
                <c:pt idx="23">
                  <c:v>374</c:v>
                </c:pt>
                <c:pt idx="24">
                  <c:v>374</c:v>
                </c:pt>
                <c:pt idx="25">
                  <c:v>374</c:v>
                </c:pt>
                <c:pt idx="26">
                  <c:v>374</c:v>
                </c:pt>
                <c:pt idx="27">
                  <c:v>374</c:v>
                </c:pt>
                <c:pt idx="28">
                  <c:v>374</c:v>
                </c:pt>
                <c:pt idx="29">
                  <c:v>388</c:v>
                </c:pt>
                <c:pt idx="30">
                  <c:v>388</c:v>
                </c:pt>
                <c:pt idx="31">
                  <c:v>388</c:v>
                </c:pt>
                <c:pt idx="32">
                  <c:v>388</c:v>
                </c:pt>
                <c:pt idx="33">
                  <c:v>388</c:v>
                </c:pt>
                <c:pt idx="34">
                  <c:v>388</c:v>
                </c:pt>
                <c:pt idx="35">
                  <c:v>369</c:v>
                </c:pt>
                <c:pt idx="36">
                  <c:v>369</c:v>
                </c:pt>
                <c:pt idx="37">
                  <c:v>369</c:v>
                </c:pt>
                <c:pt idx="38">
                  <c:v>369</c:v>
                </c:pt>
                <c:pt idx="39">
                  <c:v>369</c:v>
                </c:pt>
                <c:pt idx="40">
                  <c:v>369</c:v>
                </c:pt>
                <c:pt idx="41">
                  <c:v>369</c:v>
                </c:pt>
                <c:pt idx="42">
                  <c:v>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4-4601-A82D-DD8BCBBE9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715264"/>
        <c:axId val="1"/>
      </c:lineChart>
      <c:catAx>
        <c:axId val="959715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95971526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969064711884124"/>
          <c:y val="1.8891382912558947E-3"/>
          <c:w val="0.26754856651064662"/>
          <c:h val="7.5590425418568807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167665</xdr:colOff>
      <xdr:row>2</xdr:row>
      <xdr:rowOff>32054</xdr:rowOff>
    </xdr:from>
    <xdr:to>
      <xdr:col>46</xdr:col>
      <xdr:colOff>0</xdr:colOff>
      <xdr:row>32</xdr:row>
      <xdr:rowOff>144236</xdr:rowOff>
    </xdr:to>
    <xdr:graphicFrame macro="">
      <xdr:nvGraphicFramePr>
        <xdr:cNvPr id="65212584" name="グラフ 7">
          <a:extLst>
            <a:ext uri="{FF2B5EF4-FFF2-40B4-BE49-F238E27FC236}">
              <a16:creationId xmlns:a16="http://schemas.microsoft.com/office/drawing/2014/main" id="{00000000-0008-0000-0000-0000A810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154781</xdr:colOff>
      <xdr:row>42</xdr:row>
      <xdr:rowOff>37796</xdr:rowOff>
    </xdr:from>
    <xdr:to>
      <xdr:col>46</xdr:col>
      <xdr:colOff>0</xdr:colOff>
      <xdr:row>72</xdr:row>
      <xdr:rowOff>132550</xdr:rowOff>
    </xdr:to>
    <xdr:graphicFrame macro="">
      <xdr:nvGraphicFramePr>
        <xdr:cNvPr id="65212585" name="グラフ 10">
          <a:extLst>
            <a:ext uri="{FF2B5EF4-FFF2-40B4-BE49-F238E27FC236}">
              <a16:creationId xmlns:a16="http://schemas.microsoft.com/office/drawing/2014/main" id="{00000000-0008-0000-0000-0000A910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152248</xdr:colOff>
      <xdr:row>82</xdr:row>
      <xdr:rowOff>8618</xdr:rowOff>
    </xdr:from>
    <xdr:to>
      <xdr:col>46</xdr:col>
      <xdr:colOff>0</xdr:colOff>
      <xdr:row>112</xdr:row>
      <xdr:rowOff>150046</xdr:rowOff>
    </xdr:to>
    <xdr:graphicFrame macro="">
      <xdr:nvGraphicFramePr>
        <xdr:cNvPr id="65212586" name="グラフ 11">
          <a:extLst>
            <a:ext uri="{FF2B5EF4-FFF2-40B4-BE49-F238E27FC236}">
              <a16:creationId xmlns:a16="http://schemas.microsoft.com/office/drawing/2014/main" id="{00000000-0008-0000-0000-0000AA10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142876</xdr:colOff>
      <xdr:row>122</xdr:row>
      <xdr:rowOff>13229</xdr:rowOff>
    </xdr:from>
    <xdr:to>
      <xdr:col>46</xdr:col>
      <xdr:colOff>21167</xdr:colOff>
      <xdr:row>152</xdr:row>
      <xdr:rowOff>142875</xdr:rowOff>
    </xdr:to>
    <xdr:graphicFrame macro="">
      <xdr:nvGraphicFramePr>
        <xdr:cNvPr id="65212587" name="グラフ 12">
          <a:extLst>
            <a:ext uri="{FF2B5EF4-FFF2-40B4-BE49-F238E27FC236}">
              <a16:creationId xmlns:a16="http://schemas.microsoft.com/office/drawing/2014/main" id="{00000000-0008-0000-0000-0000AB10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0.04753</cdr:x>
      <cdr:y>0.01415</cdr:y>
    </cdr:from>
    <cdr:to>
      <cdr:x>0.08825</cdr:x>
      <cdr:y>0.05968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21965" y="70889"/>
          <a:ext cx="532850" cy="22814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0.92069</cdr:x>
      <cdr:y>0.01539</cdr:y>
    </cdr:from>
    <cdr:to>
      <cdr:x>0.9608</cdr:x>
      <cdr:y>0.06936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2047892" y="77128"/>
          <a:ext cx="524867" cy="2704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0.05115</cdr:x>
      <cdr:y>0.02757</cdr:y>
    </cdr:from>
    <cdr:to>
      <cdr:x>0.10008</cdr:x>
      <cdr:y>0.07595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70037" y="139001"/>
          <a:ext cx="640956" cy="24392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0.91138</cdr:x>
      <cdr:y>0.03053</cdr:y>
    </cdr:from>
    <cdr:to>
      <cdr:x>0.95599</cdr:x>
      <cdr:y>0.09097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938585" y="153902"/>
          <a:ext cx="584366" cy="30472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0.04279</cdr:x>
      <cdr:y>0.00848</cdr:y>
    </cdr:from>
    <cdr:to>
      <cdr:x>0.08872</cdr:x>
      <cdr:y>0.06258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62241" y="42741"/>
          <a:ext cx="603484" cy="27266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0.92135</cdr:x>
      <cdr:y>0.01678</cdr:y>
    </cdr:from>
    <cdr:to>
      <cdr:x>0.93696</cdr:x>
      <cdr:y>0.05685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2105759" y="84571"/>
          <a:ext cx="205103" cy="20195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0.0503</cdr:x>
      <cdr:y>0.0145</cdr:y>
    </cdr:from>
    <cdr:to>
      <cdr:x>0.09881</cdr:x>
      <cdr:y>0.06243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76019" y="74487"/>
          <a:ext cx="651913" cy="2462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0.91354</cdr:x>
      <cdr:y>0.02301</cdr:y>
    </cdr:from>
    <cdr:to>
      <cdr:x>0.96077</cdr:x>
      <cdr:y>0.06956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14675" y="115361"/>
          <a:ext cx="615991" cy="23339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166687</xdr:colOff>
      <xdr:row>42</xdr:row>
      <xdr:rowOff>74349</xdr:rowOff>
    </xdr:from>
    <xdr:to>
      <xdr:col>45</xdr:col>
      <xdr:colOff>285749</xdr:colOff>
      <xdr:row>72</xdr:row>
      <xdr:rowOff>145256</xdr:rowOff>
    </xdr:to>
    <xdr:graphicFrame macro="">
      <xdr:nvGraphicFramePr>
        <xdr:cNvPr id="65217704" name="グラフ 2">
          <a:extLst>
            <a:ext uri="{FF2B5EF4-FFF2-40B4-BE49-F238E27FC236}">
              <a16:creationId xmlns:a16="http://schemas.microsoft.com/office/drawing/2014/main" id="{00000000-0008-0000-0100-0000A824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178593</xdr:colOff>
      <xdr:row>82</xdr:row>
      <xdr:rowOff>38400</xdr:rowOff>
    </xdr:from>
    <xdr:to>
      <xdr:col>45</xdr:col>
      <xdr:colOff>285749</xdr:colOff>
      <xdr:row>113</xdr:row>
      <xdr:rowOff>16543</xdr:rowOff>
    </xdr:to>
    <xdr:graphicFrame macro="">
      <xdr:nvGraphicFramePr>
        <xdr:cNvPr id="65217705" name="グラフ 3">
          <a:extLst>
            <a:ext uri="{FF2B5EF4-FFF2-40B4-BE49-F238E27FC236}">
              <a16:creationId xmlns:a16="http://schemas.microsoft.com/office/drawing/2014/main" id="{00000000-0008-0000-0100-0000A924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178594</xdr:colOff>
      <xdr:row>122</xdr:row>
      <xdr:rowOff>33867</xdr:rowOff>
    </xdr:from>
    <xdr:to>
      <xdr:col>46</xdr:col>
      <xdr:colOff>42333</xdr:colOff>
      <xdr:row>153</xdr:row>
      <xdr:rowOff>12010</xdr:rowOff>
    </xdr:to>
    <xdr:graphicFrame macro="">
      <xdr:nvGraphicFramePr>
        <xdr:cNvPr id="65217706" name="グラフ 4">
          <a:extLst>
            <a:ext uri="{FF2B5EF4-FFF2-40B4-BE49-F238E27FC236}">
              <a16:creationId xmlns:a16="http://schemas.microsoft.com/office/drawing/2014/main" id="{00000000-0008-0000-0100-0000AA24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163288</xdr:colOff>
      <xdr:row>2</xdr:row>
      <xdr:rowOff>6803</xdr:rowOff>
    </xdr:from>
    <xdr:to>
      <xdr:col>46</xdr:col>
      <xdr:colOff>0</xdr:colOff>
      <xdr:row>32</xdr:row>
      <xdr:rowOff>148232</xdr:rowOff>
    </xdr:to>
    <xdr:graphicFrame macro="">
      <xdr:nvGraphicFramePr>
        <xdr:cNvPr id="65217707" name="グラフ 1">
          <a:extLst>
            <a:ext uri="{FF2B5EF4-FFF2-40B4-BE49-F238E27FC236}">
              <a16:creationId xmlns:a16="http://schemas.microsoft.com/office/drawing/2014/main" id="{00000000-0008-0000-0100-0000AB24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0.04907</cdr:x>
      <cdr:y>0.03207</cdr:y>
    </cdr:from>
    <cdr:to>
      <cdr:x>0.09742</cdr:x>
      <cdr:y>0.08195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32806" y="159379"/>
          <a:ext cx="623490" cy="24787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0.92086</cdr:x>
      <cdr:y>0.02318</cdr:y>
    </cdr:from>
    <cdr:to>
      <cdr:x>0.95916</cdr:x>
      <cdr:y>0.07615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74738" y="115198"/>
          <a:ext cx="494004" cy="26323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0.03441</cdr:x>
      <cdr:y>0.01782</cdr:y>
    </cdr:from>
    <cdr:to>
      <cdr:x>0.08911</cdr:x>
      <cdr:y>0.07149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479426" y="91544"/>
          <a:ext cx="762000" cy="2757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0.90798</cdr:x>
      <cdr:y>0.01687</cdr:y>
    </cdr:from>
    <cdr:to>
      <cdr:x>0.94667</cdr:x>
      <cdr:y>0.07054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648969" y="86664"/>
          <a:ext cx="538984" cy="2757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0.05159</cdr:x>
      <cdr:y>0.01804</cdr:y>
    </cdr:from>
    <cdr:to>
      <cdr:x>0.10267</cdr:x>
      <cdr:y>0.07353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67819" y="90509"/>
          <a:ext cx="661148" cy="2783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0.92621</cdr:x>
      <cdr:y>0.02546</cdr:y>
    </cdr:from>
    <cdr:to>
      <cdr:x>0.96485</cdr:x>
      <cdr:y>0.07166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88907" y="127734"/>
          <a:ext cx="500157" cy="2317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0.04788</cdr:x>
      <cdr:y>0.02759</cdr:y>
    </cdr:from>
    <cdr:to>
      <cdr:x>0.09657</cdr:x>
      <cdr:y>0.0757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18517" y="138301"/>
          <a:ext cx="629007" cy="24117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0.91515</cdr:x>
      <cdr:y>0.02341</cdr:y>
    </cdr:from>
    <cdr:to>
      <cdr:x>0.96061</cdr:x>
      <cdr:y>0.07841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22486" y="117332"/>
          <a:ext cx="587227" cy="2757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186262</xdr:colOff>
      <xdr:row>2</xdr:row>
      <xdr:rowOff>20107</xdr:rowOff>
    </xdr:from>
    <xdr:to>
      <xdr:col>46</xdr:col>
      <xdr:colOff>0</xdr:colOff>
      <xdr:row>33</xdr:row>
      <xdr:rowOff>2786</xdr:rowOff>
    </xdr:to>
    <xdr:graphicFrame macro="">
      <xdr:nvGraphicFramePr>
        <xdr:cNvPr id="65222824" name="グラフ 1">
          <a:extLst>
            <a:ext uri="{FF2B5EF4-FFF2-40B4-BE49-F238E27FC236}">
              <a16:creationId xmlns:a16="http://schemas.microsoft.com/office/drawing/2014/main" id="{00000000-0008-0000-0200-0000A838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190499</xdr:colOff>
      <xdr:row>42</xdr:row>
      <xdr:rowOff>31483</xdr:rowOff>
    </xdr:from>
    <xdr:to>
      <xdr:col>46</xdr:col>
      <xdr:colOff>0</xdr:colOff>
      <xdr:row>73</xdr:row>
      <xdr:rowOff>9625</xdr:rowOff>
    </xdr:to>
    <xdr:graphicFrame macro="">
      <xdr:nvGraphicFramePr>
        <xdr:cNvPr id="65222825" name="グラフ 2">
          <a:extLst>
            <a:ext uri="{FF2B5EF4-FFF2-40B4-BE49-F238E27FC236}">
              <a16:creationId xmlns:a16="http://schemas.microsoft.com/office/drawing/2014/main" id="{00000000-0008-0000-0200-0000A938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178593</xdr:colOff>
      <xdr:row>82</xdr:row>
      <xdr:rowOff>39424</xdr:rowOff>
    </xdr:from>
    <xdr:to>
      <xdr:col>46</xdr:col>
      <xdr:colOff>0</xdr:colOff>
      <xdr:row>112</xdr:row>
      <xdr:rowOff>135731</xdr:rowOff>
    </xdr:to>
    <xdr:graphicFrame macro="">
      <xdr:nvGraphicFramePr>
        <xdr:cNvPr id="65222826" name="グラフ 3">
          <a:extLst>
            <a:ext uri="{FF2B5EF4-FFF2-40B4-BE49-F238E27FC236}">
              <a16:creationId xmlns:a16="http://schemas.microsoft.com/office/drawing/2014/main" id="{00000000-0008-0000-0200-0000AA38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150281</xdr:colOff>
      <xdr:row>122</xdr:row>
      <xdr:rowOff>13229</xdr:rowOff>
    </xdr:from>
    <xdr:to>
      <xdr:col>46</xdr:col>
      <xdr:colOff>42334</xdr:colOff>
      <xdr:row>153</xdr:row>
      <xdr:rowOff>1</xdr:rowOff>
    </xdr:to>
    <xdr:graphicFrame macro="">
      <xdr:nvGraphicFramePr>
        <xdr:cNvPr id="65222827" name="グラフ 4">
          <a:extLst>
            <a:ext uri="{FF2B5EF4-FFF2-40B4-BE49-F238E27FC236}">
              <a16:creationId xmlns:a16="http://schemas.microsoft.com/office/drawing/2014/main" id="{00000000-0008-0000-0200-0000AB38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112</xdr:row>
      <xdr:rowOff>152400</xdr:rowOff>
    </xdr:from>
    <xdr:to>
      <xdr:col>17</xdr:col>
      <xdr:colOff>0</xdr:colOff>
      <xdr:row>113</xdr:row>
      <xdr:rowOff>88750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4930588" y="19587882"/>
          <a:ext cx="277906" cy="1066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1">
          <a:noAutofit/>
        </a:bodyPr>
        <a:lstStyle/>
        <a:p>
          <a:endParaRPr kumimoji="1" lang="ja-JP" altLang="en-US" sz="1000" b="1">
            <a:solidFill>
              <a:srgbClr val="FF0000"/>
            </a:solidFill>
          </a:endParaRPr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0.03998</cdr:x>
      <cdr:y>0.01601</cdr:y>
    </cdr:from>
    <cdr:to>
      <cdr:x>0.2947</cdr:x>
      <cdr:y>0.06439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36575" y="81491"/>
          <a:ext cx="3418201" cy="24622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0.91805</cdr:x>
      <cdr:y>0.01589</cdr:y>
    </cdr:from>
    <cdr:to>
      <cdr:x>0.95822</cdr:x>
      <cdr:y>0.07006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2009999" y="83518"/>
          <a:ext cx="525506" cy="2847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0.04821</cdr:x>
      <cdr:y>0.01557</cdr:y>
    </cdr:from>
    <cdr:to>
      <cdr:x>0.09648</cdr:x>
      <cdr:y>0.06413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51066" y="78924"/>
          <a:ext cx="651906" cy="2462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0.91809</cdr:x>
      <cdr:y>0.01578</cdr:y>
    </cdr:from>
    <cdr:to>
      <cdr:x>0.958</cdr:x>
      <cdr:y>0.07016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81720" y="78741"/>
          <a:ext cx="516505" cy="27127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0.05515</cdr:x>
      <cdr:y>0.01708</cdr:y>
    </cdr:from>
    <cdr:to>
      <cdr:x>0.10376</cdr:x>
      <cdr:y>0.06546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49027" y="86739"/>
          <a:ext cx="660253" cy="24566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0.92024</cdr:x>
      <cdr:y>0.01391</cdr:y>
    </cdr:from>
    <cdr:to>
      <cdr:x>0.96044</cdr:x>
      <cdr:y>0.06808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999075" y="69479"/>
          <a:ext cx="524173" cy="27057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0.0511</cdr:x>
      <cdr:y>0.02367</cdr:y>
    </cdr:from>
    <cdr:to>
      <cdr:x>0.09985</cdr:x>
      <cdr:y>0.07251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64797" y="118229"/>
          <a:ext cx="634264" cy="24395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0.91349</cdr:x>
      <cdr:y>0.03248</cdr:y>
    </cdr:from>
    <cdr:to>
      <cdr:x>0.9538</cdr:x>
      <cdr:y>0.07877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85041" y="162215"/>
          <a:ext cx="524455" cy="2312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168382</xdr:colOff>
      <xdr:row>2</xdr:row>
      <xdr:rowOff>29632</xdr:rowOff>
    </xdr:from>
    <xdr:to>
      <xdr:col>46</xdr:col>
      <xdr:colOff>0</xdr:colOff>
      <xdr:row>33</xdr:row>
      <xdr:rowOff>7775</xdr:rowOff>
    </xdr:to>
    <xdr:graphicFrame macro="">
      <xdr:nvGraphicFramePr>
        <xdr:cNvPr id="65227944" name="グラフ 1">
          <a:extLst>
            <a:ext uri="{FF2B5EF4-FFF2-40B4-BE49-F238E27FC236}">
              <a16:creationId xmlns:a16="http://schemas.microsoft.com/office/drawing/2014/main" id="{00000000-0008-0000-0300-0000A84C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194767</xdr:colOff>
      <xdr:row>42</xdr:row>
      <xdr:rowOff>24834</xdr:rowOff>
    </xdr:from>
    <xdr:to>
      <xdr:col>46</xdr:col>
      <xdr:colOff>0</xdr:colOff>
      <xdr:row>73</xdr:row>
      <xdr:rowOff>4866</xdr:rowOff>
    </xdr:to>
    <xdr:graphicFrame macro="">
      <xdr:nvGraphicFramePr>
        <xdr:cNvPr id="65227945" name="グラフ 2">
          <a:extLst>
            <a:ext uri="{FF2B5EF4-FFF2-40B4-BE49-F238E27FC236}">
              <a16:creationId xmlns:a16="http://schemas.microsoft.com/office/drawing/2014/main" id="{00000000-0008-0000-0300-0000A94C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212610</xdr:colOff>
      <xdr:row>82</xdr:row>
      <xdr:rowOff>36248</xdr:rowOff>
    </xdr:from>
    <xdr:to>
      <xdr:col>46</xdr:col>
      <xdr:colOff>0</xdr:colOff>
      <xdr:row>113</xdr:row>
      <xdr:rowOff>14391</xdr:rowOff>
    </xdr:to>
    <xdr:graphicFrame macro="">
      <xdr:nvGraphicFramePr>
        <xdr:cNvPr id="65227946" name="グラフ 3">
          <a:extLst>
            <a:ext uri="{FF2B5EF4-FFF2-40B4-BE49-F238E27FC236}">
              <a16:creationId xmlns:a16="http://schemas.microsoft.com/office/drawing/2014/main" id="{00000000-0008-0000-0300-0000AA4C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227694</xdr:colOff>
      <xdr:row>122</xdr:row>
      <xdr:rowOff>29634</xdr:rowOff>
    </xdr:from>
    <xdr:to>
      <xdr:col>46</xdr:col>
      <xdr:colOff>84666</xdr:colOff>
      <xdr:row>152</xdr:row>
      <xdr:rowOff>152400</xdr:rowOff>
    </xdr:to>
    <xdr:graphicFrame macro="">
      <xdr:nvGraphicFramePr>
        <xdr:cNvPr id="65227947" name="グラフ 4">
          <a:extLst>
            <a:ext uri="{FF2B5EF4-FFF2-40B4-BE49-F238E27FC236}">
              <a16:creationId xmlns:a16="http://schemas.microsoft.com/office/drawing/2014/main" id="{00000000-0008-0000-0300-0000AB4C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0.04814</cdr:x>
      <cdr:y>0.01455</cdr:y>
    </cdr:from>
    <cdr:to>
      <cdr:x>0.09644</cdr:x>
      <cdr:y>0.06302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53855" y="74247"/>
          <a:ext cx="655991" cy="24725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0.92103</cdr:x>
      <cdr:y>0.01099</cdr:y>
    </cdr:from>
    <cdr:to>
      <cdr:x>0.96097</cdr:x>
      <cdr:y>0.06527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46093" y="54766"/>
          <a:ext cx="518035" cy="27049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0.04684</cdr:x>
      <cdr:y>0.01477</cdr:y>
    </cdr:from>
    <cdr:to>
      <cdr:x>0.09535</cdr:x>
      <cdr:y>0.06279</cdr:y>
    </cdr:to>
    <cdr:sp macro="" textlink="">
      <cdr:nvSpPr>
        <cdr:cNvPr id="4" name="テキスト ボックス 8"/>
        <cdr:cNvSpPr txBox="1"/>
      </cdr:nvSpPr>
      <cdr:spPr>
        <a:xfrm xmlns:a="http://schemas.openxmlformats.org/drawingml/2006/main">
          <a:off x="629452" y="75725"/>
          <a:ext cx="651912" cy="24622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0.92222</cdr:x>
      <cdr:y>0.00932</cdr:y>
    </cdr:from>
    <cdr:to>
      <cdr:x>0.96209</cdr:x>
      <cdr:y>0.0626</cdr:y>
    </cdr:to>
    <cdr:sp macro="" textlink="">
      <cdr:nvSpPr>
        <cdr:cNvPr id="6" name="テキスト ボックス 8"/>
        <cdr:cNvSpPr txBox="1"/>
      </cdr:nvSpPr>
      <cdr:spPr>
        <a:xfrm xmlns:a="http://schemas.openxmlformats.org/drawingml/2006/main" flipH="1">
          <a:off x="11980022" y="46827"/>
          <a:ext cx="517929" cy="2676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0.0549</cdr:x>
      <cdr:y>0.0192</cdr:y>
    </cdr:from>
    <cdr:to>
      <cdr:x>0.10119</cdr:x>
      <cdr:y>0.06229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13152" y="96495"/>
          <a:ext cx="601299" cy="21661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0.91824</cdr:x>
      <cdr:y>0.01665</cdr:y>
    </cdr:from>
    <cdr:to>
      <cdr:x>0.95843</cdr:x>
      <cdr:y>0.07052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27382" y="83711"/>
          <a:ext cx="522044" cy="27078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0.05686</cdr:x>
      <cdr:y>0.01961</cdr:y>
    </cdr:from>
    <cdr:to>
      <cdr:x>0.10537</cdr:x>
      <cdr:y>0.06808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739960" y="98487"/>
          <a:ext cx="631347" cy="24338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0.91645</cdr:x>
      <cdr:y>0.01308</cdr:y>
    </cdr:from>
    <cdr:to>
      <cdr:x>0.97021</cdr:x>
      <cdr:y>0.0708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27362" y="65657"/>
          <a:ext cx="699674" cy="28983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（トン）</a:t>
          </a:r>
          <a:endParaRPr lang="ja-JP" altLang="ja-JP">
            <a:effectLst/>
          </a:endParaRP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/>
        </a:solidFill>
      </a:spPr>
      <a:bodyPr wrap="none" rtlCol="0" anchor="ctr">
        <a:noAutofit/>
      </a:bodyPr>
      <a:lstStyle>
        <a:defPPr>
          <a:defRPr kumimoji="1"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S161"/>
  <sheetViews>
    <sheetView showGridLines="0" tabSelected="1" zoomScale="90" zoomScaleNormal="90" zoomScaleSheetLayoutView="80" workbookViewId="0"/>
  </sheetViews>
  <sheetFormatPr defaultRowHeight="13.2" x14ac:dyDescent="0.2"/>
  <cols>
    <col min="1" max="1" width="11.109375" bestFit="1" customWidth="1"/>
    <col min="2" max="44" width="4.109375" style="1" customWidth="1"/>
    <col min="45" max="45" width="3.77734375" customWidth="1"/>
    <col min="46" max="46" width="3.6640625" customWidth="1"/>
  </cols>
  <sheetData>
    <row r="1" spans="1:45" ht="15.6" x14ac:dyDescent="0.2">
      <c r="A1" s="19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 t="str">
        <f>TEXT(集計表!$C$1,"(e.m/d～)")</f>
        <v>(8.6/1～)</v>
      </c>
      <c r="N1" s="10"/>
      <c r="AQ1" s="3"/>
      <c r="AR1" s="3"/>
      <c r="AS1" s="26"/>
    </row>
    <row r="2" spans="1:45" ht="15.6" x14ac:dyDescent="0.2">
      <c r="A2" s="19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AQ2" s="27"/>
      <c r="AR2" s="27"/>
      <c r="AS2" s="28"/>
    </row>
    <row r="3" spans="1:45" x14ac:dyDescent="0.2">
      <c r="AQ3" s="3"/>
      <c r="AR3" s="3"/>
      <c r="AS3" s="26"/>
    </row>
    <row r="12" spans="1:45" ht="13.5" customHeight="1" x14ac:dyDescent="0.2"/>
    <row r="13" spans="1:45" ht="13.5" customHeight="1" x14ac:dyDescent="0.2"/>
    <row r="14" spans="1:45" ht="13.5" customHeight="1" x14ac:dyDescent="0.2"/>
    <row r="15" spans="1:45" ht="13.5" customHeight="1" x14ac:dyDescent="0.2"/>
    <row r="20" spans="35:35" x14ac:dyDescent="0.2">
      <c r="AI20" s="1">
        <v>260</v>
      </c>
    </row>
    <row r="33" spans="1:45" ht="13.2" customHeight="1" x14ac:dyDescent="0.2">
      <c r="AJ33" s="2"/>
      <c r="AK33" s="2"/>
      <c r="AL33" s="2"/>
      <c r="AM33" s="2"/>
      <c r="AN33" s="2"/>
      <c r="AO33" s="2"/>
      <c r="AP33" s="2"/>
      <c r="AQ33" s="2"/>
      <c r="AR33" s="2"/>
    </row>
    <row r="34" spans="1:45" s="39" customFormat="1" ht="16.2" customHeight="1" x14ac:dyDescent="0.2">
      <c r="B34" s="38"/>
      <c r="C34" s="38"/>
      <c r="D34" s="40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40"/>
      <c r="S34" s="38"/>
      <c r="T34" s="38"/>
      <c r="U34" s="38"/>
      <c r="V34" s="38"/>
      <c r="W34" s="40"/>
      <c r="X34" s="38"/>
      <c r="Y34" s="38"/>
      <c r="Z34" s="38"/>
      <c r="AA34" s="40"/>
      <c r="AB34" s="38"/>
      <c r="AC34" s="38"/>
      <c r="AD34" s="38"/>
      <c r="AE34" s="38"/>
      <c r="AF34" s="38"/>
      <c r="AG34" s="38"/>
      <c r="AH34" s="38"/>
      <c r="AI34" s="38"/>
      <c r="AJ34" s="44"/>
      <c r="AL34" s="38"/>
      <c r="AM34" s="38"/>
      <c r="AN34" s="44"/>
      <c r="AO34" s="38"/>
      <c r="AP34" s="38"/>
      <c r="AQ34" s="38"/>
      <c r="AR34" s="38"/>
    </row>
    <row r="35" spans="1:45" x14ac:dyDescent="0.2">
      <c r="A35" s="45">
        <f>集計表!C1</f>
        <v>46174</v>
      </c>
      <c r="B35" s="52" t="str">
        <f>集計表!D1</f>
        <v>6/1</v>
      </c>
      <c r="C35" s="47" t="str">
        <f>集計表!E1</f>
        <v>2</v>
      </c>
      <c r="D35" s="47" t="str">
        <f>集計表!F1</f>
        <v>4</v>
      </c>
      <c r="E35" s="47" t="str">
        <f>集計表!G1</f>
        <v>5</v>
      </c>
      <c r="F35" s="47" t="str">
        <f>集計表!H1</f>
        <v>6</v>
      </c>
      <c r="G35" s="47" t="str">
        <f>集計表!I1</f>
        <v>8</v>
      </c>
      <c r="H35" s="47" t="str">
        <f>集計表!J1</f>
        <v>9</v>
      </c>
      <c r="I35" s="47" t="str">
        <f>集計表!K1</f>
        <v>11</v>
      </c>
      <c r="J35" s="47" t="str">
        <f>集計表!L1</f>
        <v>12</v>
      </c>
      <c r="K35" s="47" t="str">
        <f>集計表!M1</f>
        <v>13</v>
      </c>
      <c r="L35" s="47" t="str">
        <f>集計表!N1</f>
        <v>15</v>
      </c>
      <c r="M35" s="47" t="str">
        <f>集計表!O1</f>
        <v>16</v>
      </c>
      <c r="N35" s="47" t="str">
        <f>集計表!P1</f>
        <v>18</v>
      </c>
      <c r="O35" s="47" t="str">
        <f>集計表!Q1</f>
        <v>19</v>
      </c>
      <c r="P35" s="47" t="str">
        <f>集計表!R1</f>
        <v>20</v>
      </c>
      <c r="Q35" s="47" t="str">
        <f>集計表!S1</f>
        <v>22</v>
      </c>
      <c r="R35" s="47" t="str">
        <f>集計表!T1</f>
        <v>23</v>
      </c>
      <c r="S35" s="47" t="str">
        <f>集計表!U1</f>
        <v>25</v>
      </c>
      <c r="T35" s="47" t="str">
        <f>集計表!V1</f>
        <v>26</v>
      </c>
      <c r="U35" s="47" t="str">
        <f>集計表!W1</f>
        <v>27</v>
      </c>
      <c r="V35" s="47" t="str">
        <f>集計表!X1</f>
        <v>29</v>
      </c>
      <c r="W35" s="47" t="str">
        <f>集計表!Y1</f>
        <v>30</v>
      </c>
      <c r="X35" s="47" t="str">
        <f>集計表!Z1</f>
        <v>7/2</v>
      </c>
      <c r="Y35" s="47" t="str">
        <f>集計表!AA1</f>
        <v>3</v>
      </c>
      <c r="Z35" s="47" t="str">
        <f>集計表!AB1</f>
        <v>4</v>
      </c>
      <c r="AA35" s="47" t="str">
        <f>集計表!AC1</f>
        <v>6</v>
      </c>
      <c r="AB35" s="47" t="str">
        <f>集計表!AD1</f>
        <v>7</v>
      </c>
      <c r="AC35" s="47" t="str">
        <f>集計表!AE1</f>
        <v>9</v>
      </c>
      <c r="AD35" s="47" t="str">
        <f>集計表!AF1</f>
        <v>10</v>
      </c>
      <c r="AE35" s="47" t="str">
        <f>集計表!AG1</f>
        <v>11</v>
      </c>
      <c r="AF35" s="47" t="str">
        <f>集計表!AH1</f>
        <v>13</v>
      </c>
      <c r="AG35" s="47" t="str">
        <f>集計表!AI1</f>
        <v>14</v>
      </c>
      <c r="AH35" s="47" t="str">
        <f>集計表!AJ1</f>
        <v>16</v>
      </c>
      <c r="AI35" s="47" t="str">
        <f>集計表!AK1</f>
        <v>17</v>
      </c>
      <c r="AJ35" s="47" t="str">
        <f>集計表!AL1</f>
        <v>18</v>
      </c>
      <c r="AK35" s="47" t="str">
        <f>集計表!AM1</f>
        <v>21</v>
      </c>
      <c r="AL35" s="47" t="str">
        <f>集計表!AN1</f>
        <v>23</v>
      </c>
      <c r="AM35" s="47" t="str">
        <f>集計表!AO1</f>
        <v>24</v>
      </c>
      <c r="AN35" s="47" t="str">
        <f>集計表!AP1</f>
        <v>25</v>
      </c>
      <c r="AO35" s="47" t="str">
        <f>集計表!AQ1</f>
        <v>27</v>
      </c>
      <c r="AP35" s="47" t="str">
        <f>集計表!AR1</f>
        <v>28</v>
      </c>
      <c r="AQ35" s="47" t="str">
        <f>集計表!AS1</f>
        <v>30</v>
      </c>
      <c r="AR35" s="47" t="str">
        <f>集計表!AT1</f>
        <v>31</v>
      </c>
    </row>
    <row r="36" spans="1:45" s="42" customFormat="1" x14ac:dyDescent="0.2">
      <c r="A36" s="49" t="s">
        <v>0</v>
      </c>
      <c r="B36" s="41">
        <f>IF(集計表!D3="","",集計表!D3)</f>
        <v>364.892</v>
      </c>
      <c r="C36" s="41">
        <f>IF(集計表!E3="","",集計表!E3)</f>
        <v>215.78899999999999</v>
      </c>
      <c r="D36" s="41">
        <f>IF(集計表!F3="","",集計表!F3)</f>
        <v>331.685</v>
      </c>
      <c r="E36" s="41">
        <f>IF(集計表!G3="","",集計表!G3)</f>
        <v>178.3</v>
      </c>
      <c r="F36" s="41">
        <f>IF(集計表!H3="","",集計表!H3)</f>
        <v>158.54900000000001</v>
      </c>
      <c r="G36" s="41">
        <f>IF(集計表!I3="","",集計表!I3)</f>
        <v>269.68200000000002</v>
      </c>
      <c r="H36" s="41">
        <f>IF(集計表!J3="","",集計表!J3)</f>
        <v>185.02500000000001</v>
      </c>
      <c r="I36" s="41">
        <f>IF(集計表!K3="","",集計表!K3)</f>
        <v>300.01600000000002</v>
      </c>
      <c r="J36" s="41">
        <f>IF(集計表!L3="","",集計表!L3)</f>
        <v>151.18</v>
      </c>
      <c r="K36" s="41">
        <f>IF(集計表!M3="","",集計表!M3)</f>
        <v>173.56399999999999</v>
      </c>
      <c r="L36" s="41">
        <f>IF(集計表!N3="","",集計表!N3)</f>
        <v>311.334</v>
      </c>
      <c r="M36" s="41">
        <f>IF(集計表!O3="","",集計表!O3)</f>
        <v>188.864</v>
      </c>
      <c r="N36" s="41">
        <f>IF(集計表!P3="","",集計表!P3)</f>
        <v>326.04500000000002</v>
      </c>
      <c r="O36" s="41">
        <f>IF(集計表!Q3="","",集計表!Q3)</f>
        <v>197.38300000000001</v>
      </c>
      <c r="P36" s="41">
        <f>IF(集計表!R3="","",集計表!R3)</f>
        <v>219.44200000000001</v>
      </c>
      <c r="Q36" s="41">
        <f>IF(集計表!S3="","",集計表!S3)</f>
        <v>344.89299999999997</v>
      </c>
      <c r="R36" s="41">
        <f>IF(集計表!T3="","",集計表!T3)</f>
        <v>162.637</v>
      </c>
      <c r="S36" s="41">
        <f>IF(集計表!U3="","",集計表!U3)</f>
        <v>256.74599999999998</v>
      </c>
      <c r="T36" s="41">
        <f>IF(集計表!V3="","",集計表!V3)</f>
        <v>138.20500000000001</v>
      </c>
      <c r="U36" s="41">
        <f>IF(集計表!W3="","",集計表!W3)</f>
        <v>149.22999999999999</v>
      </c>
      <c r="V36" s="41">
        <f>IF(集計表!X3="","",集計表!X3)</f>
        <v>240.3</v>
      </c>
      <c r="W36" s="41">
        <f>IF(集計表!Y3="","",集計表!Y3)</f>
        <v>141.001</v>
      </c>
      <c r="X36" s="41">
        <f>IF(集計表!Z3="","",集計表!Z3)</f>
        <v>280.601</v>
      </c>
      <c r="Y36" s="41">
        <f>IF(集計表!AA3="","",集計表!AA3)</f>
        <v>141.12700000000001</v>
      </c>
      <c r="Z36" s="41">
        <f>IF(集計表!AB3="","",集計表!AB3)</f>
        <v>137.452</v>
      </c>
      <c r="AA36" s="41">
        <f>IF(集計表!AC3="","",集計表!AC3)</f>
        <v>214.453</v>
      </c>
      <c r="AB36" s="41">
        <f>IF(集計表!AD3="","",集計表!AD3)</f>
        <v>164.29599999999999</v>
      </c>
      <c r="AC36" s="41" t="str">
        <f>IF(集計表!AE3="","",集計表!AE3)</f>
        <v/>
      </c>
      <c r="AD36" s="41" t="str">
        <f>IF(集計表!AF3="","",集計表!AF3)</f>
        <v/>
      </c>
      <c r="AE36" s="41" t="str">
        <f>IF(集計表!AG3="","",集計表!AG3)</f>
        <v/>
      </c>
      <c r="AF36" s="41" t="str">
        <f>IF(集計表!AH3="","",集計表!AH3)</f>
        <v/>
      </c>
      <c r="AG36" s="41" t="str">
        <f>IF(集計表!AI3="","",集計表!AI3)</f>
        <v/>
      </c>
      <c r="AH36" s="41" t="str">
        <f>IF(集計表!AJ3="","",集計表!AJ3)</f>
        <v/>
      </c>
      <c r="AI36" s="41" t="str">
        <f>IF(集計表!AK3="","",集計表!AK3)</f>
        <v/>
      </c>
      <c r="AJ36" s="41" t="str">
        <f>IF(集計表!AL3="","",集計表!AL3)</f>
        <v/>
      </c>
      <c r="AK36" s="41" t="str">
        <f>IF(集計表!AM3="","",集計表!AM3)</f>
        <v/>
      </c>
      <c r="AL36" s="41" t="str">
        <f>IF(集計表!AN3="","",集計表!AN3)</f>
        <v/>
      </c>
      <c r="AM36" s="41" t="str">
        <f>IF(集計表!AO3="","",集計表!AO3)</f>
        <v/>
      </c>
      <c r="AN36" s="41" t="str">
        <f>IF(集計表!AP3="","",集計表!AP3)</f>
        <v/>
      </c>
      <c r="AO36" s="41" t="str">
        <f>IF(集計表!AQ3="","",集計表!AQ3)</f>
        <v/>
      </c>
      <c r="AP36" s="41" t="str">
        <f>IF(集計表!AR3="","",集計表!AR3)</f>
        <v/>
      </c>
      <c r="AQ36" s="41" t="str">
        <f>IF(集計表!AS3="","",集計表!AS3)</f>
        <v/>
      </c>
      <c r="AR36" s="41" t="str">
        <f>IF(集計表!AT3="","",集計表!AT3)</f>
        <v/>
      </c>
    </row>
    <row r="37" spans="1:45" s="42" customFormat="1" x14ac:dyDescent="0.2">
      <c r="A37" s="49" t="s">
        <v>1</v>
      </c>
      <c r="B37" s="41">
        <f>IF(集計表!D4=0,NA(),集計表!D4)</f>
        <v>255</v>
      </c>
      <c r="C37" s="41">
        <f>IF(集計表!E4=0,NA(),集計表!E4)</f>
        <v>256</v>
      </c>
      <c r="D37" s="41">
        <f>IF(集計表!F4=0,NA(),集計表!F4)</f>
        <v>254</v>
      </c>
      <c r="E37" s="41">
        <f>IF(集計表!G4=0,NA(),集計表!G4)</f>
        <v>266</v>
      </c>
      <c r="F37" s="41">
        <f>IF(集計表!H4=0,NA(),集計表!H4)</f>
        <v>295</v>
      </c>
      <c r="G37" s="41">
        <f>IF(集計表!I4=0,NA(),集計表!I4)</f>
        <v>332</v>
      </c>
      <c r="H37" s="41">
        <f>IF(集計表!J4=0,NA(),集計表!J4)</f>
        <v>347</v>
      </c>
      <c r="I37" s="41">
        <f>IF(集計表!K4=0,NA(),集計表!K4)</f>
        <v>349</v>
      </c>
      <c r="J37" s="41">
        <f>IF(集計表!L4=0,NA(),集計表!L4)</f>
        <v>353</v>
      </c>
      <c r="K37" s="41">
        <f>IF(集計表!M4=0,NA(),集計表!M4)</f>
        <v>355</v>
      </c>
      <c r="L37" s="41">
        <f>IF(集計表!N4=0,NA(),集計表!N4)</f>
        <v>362</v>
      </c>
      <c r="M37" s="41">
        <f>IF(集計表!O4=0,NA(),集計表!O4)</f>
        <v>367</v>
      </c>
      <c r="N37" s="41">
        <f>IF(集計表!P4=0,NA(),集計表!P4)</f>
        <v>372</v>
      </c>
      <c r="O37" s="41">
        <f>IF(集計表!Q4=0,NA(),集計表!Q4)</f>
        <v>375</v>
      </c>
      <c r="P37" s="41">
        <f>IF(集計表!R4=0,NA(),集計表!R4)</f>
        <v>370</v>
      </c>
      <c r="Q37" s="41">
        <f>IF(集計表!S4=0,NA(),集計表!S4)</f>
        <v>367</v>
      </c>
      <c r="R37" s="41">
        <f>IF(集計表!T4=0,NA(),集計表!T4)</f>
        <v>370</v>
      </c>
      <c r="S37" s="41">
        <f>IF(集計表!U4=0,NA(),集計表!U4)</f>
        <v>366</v>
      </c>
      <c r="T37" s="41">
        <f>IF(集計表!V4=0,NA(),集計表!V4)</f>
        <v>374</v>
      </c>
      <c r="U37" s="41">
        <f>IF(集計表!W4=0,NA(),集計表!W4)</f>
        <v>376</v>
      </c>
      <c r="V37" s="41">
        <f>IF(集計表!X4=0,NA(),集計表!X4)</f>
        <v>389</v>
      </c>
      <c r="W37" s="41">
        <f>IF(集計表!Y4=0,NA(),集計表!Y4)</f>
        <v>399</v>
      </c>
      <c r="X37" s="41">
        <f>IF(集計表!Z4=0,NA(),集計表!Z4)</f>
        <v>400</v>
      </c>
      <c r="Y37" s="41">
        <f>IF(集計表!AA4=0,NA(),集計表!AA4)</f>
        <v>413</v>
      </c>
      <c r="Z37" s="41">
        <f>IF(集計表!AB4=0,NA(),集計表!AB4)</f>
        <v>438</v>
      </c>
      <c r="AA37" s="41">
        <f>IF(集計表!AC4=0,NA(),集計表!AC4)</f>
        <v>478</v>
      </c>
      <c r="AB37" s="41">
        <f>IF(集計表!AD4=0,NA(),集計表!AD4)</f>
        <v>494</v>
      </c>
      <c r="AC37" s="41" t="e">
        <f>IF(集計表!AE4=0,NA(),集計表!AE4)</f>
        <v>#N/A</v>
      </c>
      <c r="AD37" s="41" t="e">
        <f>IF(集計表!AF4=0,NA(),集計表!AF4)</f>
        <v>#N/A</v>
      </c>
      <c r="AE37" s="41" t="e">
        <f>IF(集計表!AG4=0,NA(),集計表!AG4)</f>
        <v>#N/A</v>
      </c>
      <c r="AF37" s="41" t="e">
        <f>IF(集計表!AH4=0,NA(),集計表!AH4)</f>
        <v>#N/A</v>
      </c>
      <c r="AG37" s="41" t="e">
        <f>IF(集計表!AI4=0,NA(),集計表!AI4)</f>
        <v>#N/A</v>
      </c>
      <c r="AH37" s="41" t="e">
        <f>IF(集計表!AJ4=0,NA(),集計表!AJ4)</f>
        <v>#N/A</v>
      </c>
      <c r="AI37" s="41" t="e">
        <f>IF(集計表!AK4=0,NA(),集計表!AK4)</f>
        <v>#N/A</v>
      </c>
      <c r="AJ37" s="41" t="e">
        <f>IF(集計表!AL4=0,NA(),集計表!AL4)</f>
        <v>#N/A</v>
      </c>
      <c r="AK37" s="41" t="e">
        <f>IF(集計表!AM4=0,NA(),集計表!AM4)</f>
        <v>#N/A</v>
      </c>
      <c r="AL37" s="41" t="e">
        <f>IF(集計表!AN4=0,NA(),集計表!AN4)</f>
        <v>#N/A</v>
      </c>
      <c r="AM37" s="41" t="e">
        <f>IF(集計表!AO4=0,NA(),集計表!AO4)</f>
        <v>#N/A</v>
      </c>
      <c r="AN37" s="41" t="e">
        <f>IF(集計表!AP4=0,NA(),集計表!AP4)</f>
        <v>#N/A</v>
      </c>
      <c r="AO37" s="41" t="e">
        <f>IF(集計表!AQ4=0,NA(),集計表!AQ4)</f>
        <v>#N/A</v>
      </c>
      <c r="AP37" s="41" t="e">
        <f>IF(集計表!AR4=0,NA(),集計表!AR4)</f>
        <v>#N/A</v>
      </c>
      <c r="AQ37" s="41" t="e">
        <f>IF(集計表!AS4=0,NA(),集計表!AS4)</f>
        <v>#N/A</v>
      </c>
      <c r="AR37" s="41" t="e">
        <f>IF(集計表!AT4=0,NA(),集計表!AT4)</f>
        <v>#N/A</v>
      </c>
    </row>
    <row r="38" spans="1:45" s="42" customFormat="1" x14ac:dyDescent="0.2">
      <c r="A38" s="49" t="s">
        <v>2</v>
      </c>
      <c r="B38" s="32">
        <f>集計表!D5</f>
        <v>268</v>
      </c>
      <c r="C38" s="32">
        <f>集計表!E5</f>
        <v>268</v>
      </c>
      <c r="D38" s="32">
        <f>集計表!F5</f>
        <v>268</v>
      </c>
      <c r="E38" s="32">
        <f>集計表!G5</f>
        <v>268</v>
      </c>
      <c r="F38" s="32">
        <f>集計表!H5</f>
        <v>268</v>
      </c>
      <c r="G38" s="32">
        <f>集計表!I5</f>
        <v>268</v>
      </c>
      <c r="H38" s="32">
        <f>集計表!J5</f>
        <v>268</v>
      </c>
      <c r="I38" s="32">
        <f>集計表!K5</f>
        <v>261</v>
      </c>
      <c r="J38" s="32">
        <f>集計表!L5</f>
        <v>261</v>
      </c>
      <c r="K38" s="32">
        <f>集計表!M5</f>
        <v>261</v>
      </c>
      <c r="L38" s="32">
        <f>集計表!N5</f>
        <v>261</v>
      </c>
      <c r="M38" s="32">
        <f>集計表!O5</f>
        <v>261</v>
      </c>
      <c r="N38" s="32">
        <f>集計表!P5</f>
        <v>261</v>
      </c>
      <c r="O38" s="32">
        <f>集計表!Q5</f>
        <v>261</v>
      </c>
      <c r="P38" s="32">
        <f>集計表!R5</f>
        <v>261</v>
      </c>
      <c r="Q38" s="32">
        <f>集計表!S5</f>
        <v>261</v>
      </c>
      <c r="R38" s="32">
        <f>集計表!T5</f>
        <v>261</v>
      </c>
      <c r="S38" s="32">
        <f>集計表!U5</f>
        <v>261</v>
      </c>
      <c r="T38" s="32">
        <f>集計表!V5</f>
        <v>261</v>
      </c>
      <c r="U38" s="32">
        <f>集計表!W5</f>
        <v>261</v>
      </c>
      <c r="V38" s="32">
        <f>集計表!X5</f>
        <v>261</v>
      </c>
      <c r="W38" s="32">
        <f>集計表!Y5</f>
        <v>261</v>
      </c>
      <c r="X38" s="32">
        <f>集計表!Z5</f>
        <v>287</v>
      </c>
      <c r="Y38" s="32">
        <f>集計表!AA5</f>
        <v>287</v>
      </c>
      <c r="Z38" s="32">
        <f>集計表!AB5</f>
        <v>287</v>
      </c>
      <c r="AA38" s="32">
        <f>集計表!AC5</f>
        <v>287</v>
      </c>
      <c r="AB38" s="32">
        <f>集計表!AD5</f>
        <v>287</v>
      </c>
      <c r="AC38" s="32">
        <f>集計表!AE5</f>
        <v>287</v>
      </c>
      <c r="AD38" s="32">
        <f>集計表!AF5</f>
        <v>287</v>
      </c>
      <c r="AE38" s="32">
        <f>集計表!AG5</f>
        <v>314</v>
      </c>
      <c r="AF38" s="32">
        <f>集計表!AH5</f>
        <v>314</v>
      </c>
      <c r="AG38" s="32">
        <f>集計表!AI5</f>
        <v>314</v>
      </c>
      <c r="AH38" s="32">
        <f>集計表!AJ5</f>
        <v>314</v>
      </c>
      <c r="AI38" s="32">
        <f>集計表!AK5</f>
        <v>314</v>
      </c>
      <c r="AJ38" s="32">
        <f>集計表!AL5</f>
        <v>314</v>
      </c>
      <c r="AK38" s="32">
        <f>集計表!AM5</f>
        <v>291</v>
      </c>
      <c r="AL38" s="32">
        <f>集計表!AN5</f>
        <v>291</v>
      </c>
      <c r="AM38" s="32">
        <f>集計表!AO5</f>
        <v>291</v>
      </c>
      <c r="AN38" s="32">
        <f>集計表!AP5</f>
        <v>291</v>
      </c>
      <c r="AO38" s="32">
        <f>集計表!AQ5</f>
        <v>291</v>
      </c>
      <c r="AP38" s="32">
        <f>集計表!AR5</f>
        <v>291</v>
      </c>
      <c r="AQ38" s="32">
        <f>集計表!AS5</f>
        <v>291</v>
      </c>
      <c r="AR38" s="32">
        <f>集計表!AT5</f>
        <v>291</v>
      </c>
    </row>
    <row r="39" spans="1:45" s="42" customFormat="1" ht="13.5" customHeight="1" x14ac:dyDescent="0.2">
      <c r="A39" s="50" t="s">
        <v>23</v>
      </c>
      <c r="B39" s="51">
        <f>IFERROR(B37/B38, "")</f>
        <v>0.95149253731343286</v>
      </c>
      <c r="C39" s="51">
        <f t="shared" ref="C39:AM39" si="0">IFERROR(C37/C38, "")</f>
        <v>0.95522388059701491</v>
      </c>
      <c r="D39" s="51">
        <f t="shared" si="0"/>
        <v>0.94776119402985071</v>
      </c>
      <c r="E39" s="51">
        <f t="shared" si="0"/>
        <v>0.9925373134328358</v>
      </c>
      <c r="F39" s="51">
        <f t="shared" si="0"/>
        <v>1.1007462686567164</v>
      </c>
      <c r="G39" s="51">
        <f t="shared" si="0"/>
        <v>1.2388059701492538</v>
      </c>
      <c r="H39" s="51">
        <f t="shared" si="0"/>
        <v>1.294776119402985</v>
      </c>
      <c r="I39" s="51">
        <f t="shared" si="0"/>
        <v>1.3371647509578544</v>
      </c>
      <c r="J39" s="51">
        <f t="shared" si="0"/>
        <v>1.3524904214559388</v>
      </c>
      <c r="K39" s="51">
        <f t="shared" si="0"/>
        <v>1.3601532567049808</v>
      </c>
      <c r="L39" s="51">
        <f t="shared" si="0"/>
        <v>1.3869731800766283</v>
      </c>
      <c r="M39" s="51">
        <f t="shared" si="0"/>
        <v>1.4061302681992338</v>
      </c>
      <c r="N39" s="51">
        <f t="shared" si="0"/>
        <v>1.4252873563218391</v>
      </c>
      <c r="O39" s="51">
        <f t="shared" si="0"/>
        <v>1.4367816091954022</v>
      </c>
      <c r="P39" s="51">
        <f t="shared" si="0"/>
        <v>1.4176245210727969</v>
      </c>
      <c r="Q39" s="51">
        <f t="shared" si="0"/>
        <v>1.4061302681992338</v>
      </c>
      <c r="R39" s="51">
        <f t="shared" si="0"/>
        <v>1.4176245210727969</v>
      </c>
      <c r="S39" s="51">
        <f t="shared" si="0"/>
        <v>1.4022988505747127</v>
      </c>
      <c r="T39" s="51">
        <f t="shared" si="0"/>
        <v>1.4329501915708813</v>
      </c>
      <c r="U39" s="51">
        <f t="shared" si="0"/>
        <v>1.4406130268199233</v>
      </c>
      <c r="V39" s="51">
        <f t="shared" si="0"/>
        <v>1.4904214559386972</v>
      </c>
      <c r="W39" s="51">
        <f t="shared" si="0"/>
        <v>1.5287356321839081</v>
      </c>
      <c r="X39" s="51">
        <f t="shared" si="0"/>
        <v>1.3937282229965158</v>
      </c>
      <c r="Y39" s="51">
        <f t="shared" si="0"/>
        <v>1.4390243902439024</v>
      </c>
      <c r="Z39" s="51">
        <f t="shared" si="0"/>
        <v>1.5261324041811846</v>
      </c>
      <c r="AA39" s="51">
        <f t="shared" si="0"/>
        <v>1.6655052264808363</v>
      </c>
      <c r="AB39" s="51">
        <f t="shared" si="0"/>
        <v>1.7212543554006969</v>
      </c>
      <c r="AC39" s="51" t="str">
        <f t="shared" si="0"/>
        <v/>
      </c>
      <c r="AD39" s="51" t="str">
        <f t="shared" si="0"/>
        <v/>
      </c>
      <c r="AE39" s="51" t="str">
        <f t="shared" si="0"/>
        <v/>
      </c>
      <c r="AF39" s="51" t="str">
        <f t="shared" si="0"/>
        <v/>
      </c>
      <c r="AG39" s="51" t="str">
        <f t="shared" si="0"/>
        <v/>
      </c>
      <c r="AH39" s="51" t="str">
        <f t="shared" si="0"/>
        <v/>
      </c>
      <c r="AI39" s="51" t="str">
        <f t="shared" si="0"/>
        <v/>
      </c>
      <c r="AJ39" s="51" t="str">
        <f t="shared" si="0"/>
        <v/>
      </c>
      <c r="AK39" s="51" t="str">
        <f t="shared" si="0"/>
        <v/>
      </c>
      <c r="AL39" s="51" t="str">
        <f t="shared" si="0"/>
        <v/>
      </c>
      <c r="AM39" s="51" t="str">
        <f t="shared" si="0"/>
        <v/>
      </c>
      <c r="AN39" s="51" t="str">
        <f t="shared" ref="AN39:AO39" si="1">IFERROR(AN37/AN38, "")</f>
        <v/>
      </c>
      <c r="AO39" s="51" t="str">
        <f t="shared" si="1"/>
        <v/>
      </c>
      <c r="AP39" s="51" t="str">
        <f t="shared" ref="AP39:AQ39" si="2">IFERROR(AP37/AP38, "")</f>
        <v/>
      </c>
      <c r="AQ39" s="51" t="str">
        <f t="shared" si="2"/>
        <v/>
      </c>
      <c r="AR39" s="51" t="str">
        <f t="shared" ref="AR39" si="3">IFERROR(AR37/AR38, "")</f>
        <v/>
      </c>
    </row>
    <row r="40" spans="1:45" s="33" customFormat="1" ht="30" customHeight="1" x14ac:dyDescent="0.2">
      <c r="A40" s="33" t="s">
        <v>24</v>
      </c>
      <c r="B40" s="34"/>
      <c r="C40" s="34"/>
      <c r="D40" s="35"/>
      <c r="E40" s="34"/>
      <c r="F40" s="36"/>
      <c r="G40" s="34"/>
      <c r="H40" s="34"/>
      <c r="I40" s="34"/>
      <c r="J40" s="34"/>
      <c r="K40" s="37"/>
      <c r="L40" s="34"/>
      <c r="M40" s="3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Q40"/>
      <c r="AR40"/>
      <c r="AS40"/>
    </row>
    <row r="41" spans="1:45" ht="15.6" x14ac:dyDescent="0.2">
      <c r="A41" s="19" t="s">
        <v>12</v>
      </c>
      <c r="B41" s="10"/>
      <c r="C41" s="10"/>
      <c r="D41" s="10"/>
      <c r="E41" s="10"/>
      <c r="F41" s="10"/>
      <c r="G41" s="10"/>
      <c r="H41" s="10"/>
      <c r="I41" s="10"/>
      <c r="J41" s="10"/>
      <c r="K41" s="10" t="str">
        <f>TEXT(集計表!$C$1,"(e.m/d～)")</f>
        <v>(8.6/1～)</v>
      </c>
      <c r="N41" s="10"/>
    </row>
    <row r="42" spans="1:45" ht="15.6" x14ac:dyDescent="0.2">
      <c r="A42" s="19" t="s">
        <v>17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73" spans="1:45" ht="12.75" customHeight="1" x14ac:dyDescent="0.2"/>
    <row r="74" spans="1:45" s="39" customFormat="1" ht="16.2" customHeight="1" x14ac:dyDescent="0.2">
      <c r="B74" s="38"/>
      <c r="C74" s="38"/>
      <c r="D74" s="40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40"/>
      <c r="S74" s="38"/>
      <c r="T74" s="38"/>
      <c r="U74" s="38"/>
      <c r="V74" s="38"/>
      <c r="W74" s="38"/>
      <c r="X74" s="38"/>
      <c r="Y74" s="38"/>
      <c r="Z74" s="38"/>
      <c r="AA74" s="40"/>
      <c r="AB74" s="38"/>
      <c r="AC74" s="38"/>
      <c r="AD74" s="38"/>
      <c r="AE74" s="38"/>
      <c r="AF74" s="38"/>
      <c r="AG74" s="38"/>
      <c r="AH74" s="38"/>
      <c r="AI74" s="38"/>
      <c r="AJ74" s="44"/>
      <c r="AL74" s="38"/>
      <c r="AM74" s="38"/>
      <c r="AN74" s="44"/>
      <c r="AO74" s="38"/>
      <c r="AP74" s="38"/>
      <c r="AQ74" s="38"/>
      <c r="AR74" s="38"/>
    </row>
    <row r="75" spans="1:45" x14ac:dyDescent="0.2">
      <c r="A75" s="45">
        <f>集計表!C7</f>
        <v>46174</v>
      </c>
      <c r="B75" s="58" t="str">
        <f>集計表!D7</f>
        <v>6/1</v>
      </c>
      <c r="C75" s="47" t="str">
        <f>集計表!E7</f>
        <v>2</v>
      </c>
      <c r="D75" s="47" t="str">
        <f>集計表!F7</f>
        <v>4</v>
      </c>
      <c r="E75" s="47" t="str">
        <f>集計表!G7</f>
        <v>5</v>
      </c>
      <c r="F75" s="47" t="str">
        <f>集計表!H7</f>
        <v>6</v>
      </c>
      <c r="G75" s="47" t="str">
        <f>集計表!I7</f>
        <v>8</v>
      </c>
      <c r="H75" s="47" t="str">
        <f>集計表!J7</f>
        <v>9</v>
      </c>
      <c r="I75" s="47" t="str">
        <f>集計表!K7</f>
        <v>11</v>
      </c>
      <c r="J75" s="47" t="str">
        <f>集計表!L7</f>
        <v>12</v>
      </c>
      <c r="K75" s="47" t="str">
        <f>集計表!M7</f>
        <v>13</v>
      </c>
      <c r="L75" s="47" t="str">
        <f>集計表!N7</f>
        <v>15</v>
      </c>
      <c r="M75" s="47" t="str">
        <f>集計表!O7</f>
        <v>16</v>
      </c>
      <c r="N75" s="47" t="str">
        <f>集計表!P7</f>
        <v>18</v>
      </c>
      <c r="O75" s="47" t="str">
        <f>集計表!Q7</f>
        <v>19</v>
      </c>
      <c r="P75" s="47" t="str">
        <f>集計表!R7</f>
        <v>20</v>
      </c>
      <c r="Q75" s="47" t="str">
        <f>集計表!S7</f>
        <v>22</v>
      </c>
      <c r="R75" s="47" t="str">
        <f>集計表!T7</f>
        <v>23</v>
      </c>
      <c r="S75" s="47" t="str">
        <f>集計表!U7</f>
        <v>25</v>
      </c>
      <c r="T75" s="47" t="str">
        <f>集計表!V7</f>
        <v>26</v>
      </c>
      <c r="U75" s="47" t="str">
        <f>集計表!W7</f>
        <v>27</v>
      </c>
      <c r="V75" s="47" t="str">
        <f>集計表!X7</f>
        <v>29</v>
      </c>
      <c r="W75" s="47" t="str">
        <f>集計表!Y7</f>
        <v>30</v>
      </c>
      <c r="X75" s="47" t="str">
        <f>集計表!Z7</f>
        <v>7/2</v>
      </c>
      <c r="Y75" s="47" t="str">
        <f>集計表!AA7</f>
        <v>3</v>
      </c>
      <c r="Z75" s="47" t="str">
        <f>集計表!AB7</f>
        <v>4</v>
      </c>
      <c r="AA75" s="47" t="str">
        <f>集計表!AC7</f>
        <v>6</v>
      </c>
      <c r="AB75" s="47" t="str">
        <f>集計表!AD7</f>
        <v>7</v>
      </c>
      <c r="AC75" s="47" t="str">
        <f>集計表!AE7</f>
        <v>9</v>
      </c>
      <c r="AD75" s="47" t="str">
        <f>集計表!AF7</f>
        <v>10</v>
      </c>
      <c r="AE75" s="47" t="str">
        <f>集計表!AG7</f>
        <v>11</v>
      </c>
      <c r="AF75" s="47" t="str">
        <f>集計表!AH7</f>
        <v>13</v>
      </c>
      <c r="AG75" s="47" t="str">
        <f>集計表!AI7</f>
        <v>14</v>
      </c>
      <c r="AH75" s="47" t="str">
        <f>集計表!AJ7</f>
        <v>16</v>
      </c>
      <c r="AI75" s="47" t="str">
        <f>集計表!AK7</f>
        <v>17</v>
      </c>
      <c r="AJ75" s="47" t="str">
        <f>集計表!AL7</f>
        <v>18</v>
      </c>
      <c r="AK75" s="47" t="str">
        <f>集計表!AM7</f>
        <v>21</v>
      </c>
      <c r="AL75" s="47" t="str">
        <f>集計表!AN7</f>
        <v>23</v>
      </c>
      <c r="AM75" s="47" t="str">
        <f>集計表!AO7</f>
        <v>24</v>
      </c>
      <c r="AN75" s="47" t="str">
        <f>集計表!AP7</f>
        <v>25</v>
      </c>
      <c r="AO75" s="47" t="str">
        <f>集計表!AQ7</f>
        <v>27</v>
      </c>
      <c r="AP75" s="47" t="str">
        <f>集計表!AR7</f>
        <v>28</v>
      </c>
      <c r="AQ75" s="47" t="str">
        <f>集計表!AS7</f>
        <v>30</v>
      </c>
      <c r="AR75" s="47" t="str">
        <f>集計表!AT7</f>
        <v>31</v>
      </c>
    </row>
    <row r="76" spans="1:45" s="42" customFormat="1" x14ac:dyDescent="0.2">
      <c r="A76" s="49" t="s">
        <v>0</v>
      </c>
      <c r="B76" s="41">
        <f>IF(集計表!D9="","",集計表!D9)</f>
        <v>84.772999999999996</v>
      </c>
      <c r="C76" s="41">
        <f>IF(集計表!E9="","",集計表!E9)</f>
        <v>72.381</v>
      </c>
      <c r="D76" s="41">
        <f>IF(集計表!F9="","",集計表!F9)</f>
        <v>79.921999999999997</v>
      </c>
      <c r="E76" s="41">
        <f>IF(集計表!G9="","",集計表!G9)</f>
        <v>50.75</v>
      </c>
      <c r="F76" s="41">
        <f>IF(集計表!H9="","",集計表!H9)</f>
        <v>57.715000000000003</v>
      </c>
      <c r="G76" s="41">
        <f>IF(集計表!I9="","",集計表!I9)</f>
        <v>66.613</v>
      </c>
      <c r="H76" s="41">
        <f>IF(集計表!J9="","",集計表!J9)</f>
        <v>60.658000000000001</v>
      </c>
      <c r="I76" s="41">
        <f>IF(集計表!K9="","",集計表!K9)</f>
        <v>64.84</v>
      </c>
      <c r="J76" s="41">
        <f>IF(集計表!L9="","",集計表!L9)</f>
        <v>41.43</v>
      </c>
      <c r="K76" s="41">
        <f>IF(集計表!M9="","",集計表!M9)</f>
        <v>57.104999999999997</v>
      </c>
      <c r="L76" s="41">
        <f>IF(集計表!N9="","",集計表!N9)</f>
        <v>56.421999999999997</v>
      </c>
      <c r="M76" s="41">
        <f>IF(集計表!O9="","",集計表!O9)</f>
        <v>49.655999999999999</v>
      </c>
      <c r="N76" s="41">
        <f>IF(集計表!P9="","",集計表!P9)</f>
        <v>83.947999999999993</v>
      </c>
      <c r="O76" s="41">
        <f>IF(集計表!Q9="","",集計表!Q9)</f>
        <v>51.597999999999999</v>
      </c>
      <c r="P76" s="41">
        <f>IF(集計表!R9="","",集計表!R9)</f>
        <v>49.203000000000003</v>
      </c>
      <c r="Q76" s="41">
        <f>IF(集計表!S9="","",集計表!S9)</f>
        <v>89.397000000000006</v>
      </c>
      <c r="R76" s="41">
        <f>IF(集計表!T9="","",集計表!T9)</f>
        <v>49.215000000000003</v>
      </c>
      <c r="S76" s="41">
        <f>IF(集計表!U9="","",集計表!U9)</f>
        <v>75.861000000000004</v>
      </c>
      <c r="T76" s="41">
        <f>IF(集計表!V9="","",集計表!V9)</f>
        <v>40.590000000000003</v>
      </c>
      <c r="U76" s="41">
        <f>IF(集計表!W9="","",集計表!W9)</f>
        <v>47.905999999999999</v>
      </c>
      <c r="V76" s="41">
        <f>IF(集計表!X9="","",集計表!X9)</f>
        <v>53.817999999999998</v>
      </c>
      <c r="W76" s="41">
        <f>IF(集計表!Y9="","",集計表!Y9)</f>
        <v>34.881</v>
      </c>
      <c r="X76" s="41">
        <f>IF(集計表!Z9="","",集計表!Z9)</f>
        <v>63.262</v>
      </c>
      <c r="Y76" s="41">
        <f>IF(集計表!AA9="","",集計表!AA9)</f>
        <v>39.116</v>
      </c>
      <c r="Z76" s="41">
        <f>IF(集計表!AB9="","",集計表!AB9)</f>
        <v>36.332000000000001</v>
      </c>
      <c r="AA76" s="41">
        <f>IF(集計表!AC9="","",集計表!AC9)</f>
        <v>51.671999999999997</v>
      </c>
      <c r="AB76" s="41">
        <f>IF(集計表!AD9="","",集計表!AD9)</f>
        <v>36.747999999999998</v>
      </c>
      <c r="AC76" s="41" t="str">
        <f>IF(集計表!AE9="","",集計表!AE9)</f>
        <v/>
      </c>
      <c r="AD76" s="41" t="str">
        <f>IF(集計表!AF9="","",集計表!AF9)</f>
        <v/>
      </c>
      <c r="AE76" s="41" t="str">
        <f>IF(集計表!AG9="","",集計表!AG9)</f>
        <v/>
      </c>
      <c r="AF76" s="41" t="str">
        <f>IF(集計表!AH9="","",集計表!AH9)</f>
        <v/>
      </c>
      <c r="AG76" s="41" t="str">
        <f>IF(集計表!AI9="","",集計表!AI9)</f>
        <v/>
      </c>
      <c r="AH76" s="41" t="str">
        <f>IF(集計表!AJ9="","",集計表!AJ9)</f>
        <v/>
      </c>
      <c r="AI76" s="41" t="str">
        <f>IF(集計表!AK9="","",集計表!AK9)</f>
        <v/>
      </c>
      <c r="AJ76" s="41" t="str">
        <f>IF(集計表!AL9="","",集計表!AL9)</f>
        <v/>
      </c>
      <c r="AK76" s="41" t="str">
        <f>IF(集計表!AM9="","",集計表!AM9)</f>
        <v/>
      </c>
      <c r="AL76" s="41" t="str">
        <f>IF(集計表!AN9="","",集計表!AN9)</f>
        <v/>
      </c>
      <c r="AM76" s="41" t="str">
        <f>IF(集計表!AO9="","",集計表!AO9)</f>
        <v/>
      </c>
      <c r="AN76" s="41" t="str">
        <f>IF(集計表!AP9="","",集計表!AP9)</f>
        <v/>
      </c>
      <c r="AO76" s="41" t="str">
        <f>IF(集計表!AQ9="","",集計表!AQ9)</f>
        <v/>
      </c>
      <c r="AP76" s="41" t="str">
        <f>IF(集計表!AR9="","",集計表!AR9)</f>
        <v/>
      </c>
      <c r="AQ76" s="41" t="str">
        <f>IF(集計表!AS9="","",集計表!AS9)</f>
        <v/>
      </c>
      <c r="AR76" s="41" t="str">
        <f>IF(集計表!AT9="","",集計表!AT9)</f>
        <v/>
      </c>
    </row>
    <row r="77" spans="1:45" s="42" customFormat="1" x14ac:dyDescent="0.2">
      <c r="A77" s="49" t="s">
        <v>1</v>
      </c>
      <c r="B77" s="41">
        <f>IF(集計表!D10=0,NA(),集計表!D10)</f>
        <v>292</v>
      </c>
      <c r="C77" s="41">
        <f>IF(集計表!E10=0,NA(),集計表!E10)</f>
        <v>278</v>
      </c>
      <c r="D77" s="41">
        <f>IF(集計表!F10=0,NA(),集計表!F10)</f>
        <v>275</v>
      </c>
      <c r="E77" s="41">
        <f>IF(集計表!G10=0,NA(),集計表!G10)</f>
        <v>289</v>
      </c>
      <c r="F77" s="41">
        <f>IF(集計表!H10=0,NA(),集計表!H10)</f>
        <v>307</v>
      </c>
      <c r="G77" s="41">
        <f>IF(集計表!I10=0,NA(),集計表!I10)</f>
        <v>310</v>
      </c>
      <c r="H77" s="41">
        <f>IF(集計表!J10=0,NA(),集計表!J10)</f>
        <v>332</v>
      </c>
      <c r="I77" s="41">
        <f>IF(集計表!K10=0,NA(),集計表!K10)</f>
        <v>312</v>
      </c>
      <c r="J77" s="41">
        <f>IF(集計表!L10=0,NA(),集計表!L10)</f>
        <v>325</v>
      </c>
      <c r="K77" s="41">
        <f>IF(集計表!M10=0,NA(),集計表!M10)</f>
        <v>310</v>
      </c>
      <c r="L77" s="41">
        <f>IF(集計表!N10=0,NA(),集計表!N10)</f>
        <v>336</v>
      </c>
      <c r="M77" s="41">
        <f>IF(集計表!O10=0,NA(),集計表!O10)</f>
        <v>353</v>
      </c>
      <c r="N77" s="41">
        <f>IF(集計表!P10=0,NA(),集計表!P10)</f>
        <v>348</v>
      </c>
      <c r="O77" s="41">
        <f>IF(集計表!Q10=0,NA(),集計表!Q10)</f>
        <v>338</v>
      </c>
      <c r="P77" s="41">
        <f>IF(集計表!R10=0,NA(),集計表!R10)</f>
        <v>360</v>
      </c>
      <c r="Q77" s="41">
        <f>IF(集計表!S10=0,NA(),集計表!S10)</f>
        <v>353</v>
      </c>
      <c r="R77" s="41">
        <f>IF(集計表!T10=0,NA(),集計表!T10)</f>
        <v>334</v>
      </c>
      <c r="S77" s="41">
        <f>IF(集計表!U10=0,NA(),集計表!U10)</f>
        <v>368</v>
      </c>
      <c r="T77" s="41">
        <f>IF(集計表!V10=0,NA(),集計表!V10)</f>
        <v>358</v>
      </c>
      <c r="U77" s="41">
        <f>IF(集計表!W10=0,NA(),集計表!W10)</f>
        <v>386</v>
      </c>
      <c r="V77" s="41">
        <f>IF(集計表!X10=0,NA(),集計表!X10)</f>
        <v>394</v>
      </c>
      <c r="W77" s="41">
        <f>IF(集計表!Y10=0,NA(),集計表!Y10)</f>
        <v>426</v>
      </c>
      <c r="X77" s="41">
        <f>IF(集計表!Z10=0,NA(),集計表!Z10)</f>
        <v>404</v>
      </c>
      <c r="Y77" s="41">
        <f>IF(集計表!AA10=0,NA(),集計表!AA10)</f>
        <v>412</v>
      </c>
      <c r="Z77" s="41">
        <f>IF(集計表!AB10=0,NA(),集計表!AB10)</f>
        <v>421</v>
      </c>
      <c r="AA77" s="41">
        <f>IF(集計表!AC10=0,NA(),集計表!AC10)</f>
        <v>438</v>
      </c>
      <c r="AB77" s="41">
        <f>IF(集計表!AD10=0,NA(),集計表!AD10)</f>
        <v>449</v>
      </c>
      <c r="AC77" s="41" t="e">
        <f>IF(集計表!AE10=0,NA(),集計表!AE10)</f>
        <v>#N/A</v>
      </c>
      <c r="AD77" s="41" t="e">
        <f>IF(集計表!AF10=0,NA(),集計表!AF10)</f>
        <v>#N/A</v>
      </c>
      <c r="AE77" s="41" t="e">
        <f>IF(集計表!AG10=0,NA(),集計表!AG10)</f>
        <v>#N/A</v>
      </c>
      <c r="AF77" s="41" t="e">
        <f>IF(集計表!AH10=0,NA(),集計表!AH10)</f>
        <v>#N/A</v>
      </c>
      <c r="AG77" s="41" t="e">
        <f>IF(集計表!AI10=0,NA(),集計表!AI10)</f>
        <v>#N/A</v>
      </c>
      <c r="AH77" s="41" t="e">
        <f>IF(集計表!AJ10=0,NA(),集計表!AJ10)</f>
        <v>#N/A</v>
      </c>
      <c r="AI77" s="41" t="e">
        <f>IF(集計表!AK10=0,NA(),集計表!AK10)</f>
        <v>#N/A</v>
      </c>
      <c r="AJ77" s="41" t="e">
        <f>IF(集計表!AL10=0,NA(),集計表!AL10)</f>
        <v>#N/A</v>
      </c>
      <c r="AK77" s="41" t="e">
        <f>IF(集計表!AM10=0,NA(),集計表!AM10)</f>
        <v>#N/A</v>
      </c>
      <c r="AL77" s="41" t="e">
        <f>IF(集計表!AN10=0,NA(),集計表!AN10)</f>
        <v>#N/A</v>
      </c>
      <c r="AM77" s="41" t="e">
        <f>IF(集計表!AO10=0,NA(),集計表!AO10)</f>
        <v>#N/A</v>
      </c>
      <c r="AN77" s="41" t="e">
        <f>IF(集計表!AP10=0,NA(),集計表!AP10)</f>
        <v>#N/A</v>
      </c>
      <c r="AO77" s="41" t="e">
        <f>IF(集計表!AQ10=0,NA(),集計表!AQ10)</f>
        <v>#N/A</v>
      </c>
      <c r="AP77" s="41" t="e">
        <f>IF(集計表!AR10=0,NA(),集計表!AR10)</f>
        <v>#N/A</v>
      </c>
      <c r="AQ77" s="41" t="e">
        <f>IF(集計表!AS10=0,NA(),集計表!AS10)</f>
        <v>#N/A</v>
      </c>
      <c r="AR77" s="41" t="e">
        <f>IF(集計表!AT10=0,NA(),集計表!AT10)</f>
        <v>#N/A</v>
      </c>
    </row>
    <row r="78" spans="1:45" s="42" customFormat="1" x14ac:dyDescent="0.2">
      <c r="A78" s="49" t="s">
        <v>2</v>
      </c>
      <c r="B78" s="32">
        <f>集計表!D11</f>
        <v>269</v>
      </c>
      <c r="C78" s="32">
        <f>集計表!E11</f>
        <v>269</v>
      </c>
      <c r="D78" s="32">
        <f>集計表!F11</f>
        <v>269</v>
      </c>
      <c r="E78" s="32">
        <f>集計表!G11</f>
        <v>269</v>
      </c>
      <c r="F78" s="32">
        <f>集計表!H11</f>
        <v>269</v>
      </c>
      <c r="G78" s="32">
        <f>集計表!I11</f>
        <v>269</v>
      </c>
      <c r="H78" s="32">
        <f>集計表!J11</f>
        <v>269</v>
      </c>
      <c r="I78" s="32">
        <f>集計表!K11</f>
        <v>271</v>
      </c>
      <c r="J78" s="32">
        <f>集計表!L11</f>
        <v>271</v>
      </c>
      <c r="K78" s="32">
        <f>集計表!M11</f>
        <v>271</v>
      </c>
      <c r="L78" s="32">
        <f>集計表!N11</f>
        <v>271</v>
      </c>
      <c r="M78" s="32">
        <f>集計表!O11</f>
        <v>271</v>
      </c>
      <c r="N78" s="32">
        <f>集計表!P11</f>
        <v>271</v>
      </c>
      <c r="O78" s="32">
        <f>集計表!Q11</f>
        <v>271</v>
      </c>
      <c r="P78" s="32">
        <f>集計表!R11</f>
        <v>271</v>
      </c>
      <c r="Q78" s="32">
        <f>集計表!S11</f>
        <v>275</v>
      </c>
      <c r="R78" s="32">
        <f>集計表!T11</f>
        <v>275</v>
      </c>
      <c r="S78" s="32">
        <f>集計表!U11</f>
        <v>275</v>
      </c>
      <c r="T78" s="32">
        <f>集計表!V11</f>
        <v>275</v>
      </c>
      <c r="U78" s="32">
        <f>集計表!W11</f>
        <v>275</v>
      </c>
      <c r="V78" s="32">
        <f>集計表!X11</f>
        <v>275</v>
      </c>
      <c r="W78" s="32">
        <f>集計表!Y11</f>
        <v>275</v>
      </c>
      <c r="X78" s="32">
        <f>集計表!Z11</f>
        <v>285</v>
      </c>
      <c r="Y78" s="32">
        <f>集計表!AA11</f>
        <v>285</v>
      </c>
      <c r="Z78" s="32">
        <f>集計表!AB11</f>
        <v>285</v>
      </c>
      <c r="AA78" s="32">
        <f>集計表!AC11</f>
        <v>285</v>
      </c>
      <c r="AB78" s="32">
        <f>集計表!AD11</f>
        <v>285</v>
      </c>
      <c r="AC78" s="32">
        <f>集計表!AE11</f>
        <v>285</v>
      </c>
      <c r="AD78" s="32">
        <f>集計表!AF11</f>
        <v>285</v>
      </c>
      <c r="AE78" s="32">
        <f>集計表!AG11</f>
        <v>322</v>
      </c>
      <c r="AF78" s="32">
        <f>集計表!AH11</f>
        <v>322</v>
      </c>
      <c r="AG78" s="32">
        <f>集計表!AI11</f>
        <v>322</v>
      </c>
      <c r="AH78" s="32">
        <f>集計表!AJ11</f>
        <v>322</v>
      </c>
      <c r="AI78" s="32">
        <f>集計表!AK11</f>
        <v>322</v>
      </c>
      <c r="AJ78" s="32">
        <f>集計表!AL11</f>
        <v>322</v>
      </c>
      <c r="AK78" s="32">
        <f>集計表!AM11</f>
        <v>308</v>
      </c>
      <c r="AL78" s="32">
        <f>集計表!AN11</f>
        <v>308</v>
      </c>
      <c r="AM78" s="32">
        <f>集計表!AO11</f>
        <v>308</v>
      </c>
      <c r="AN78" s="32">
        <f>集計表!AP11</f>
        <v>308</v>
      </c>
      <c r="AO78" s="32">
        <f>集計表!AQ11</f>
        <v>308</v>
      </c>
      <c r="AP78" s="32">
        <f>集計表!AR11</f>
        <v>308</v>
      </c>
      <c r="AQ78" s="32">
        <f>集計表!AS11</f>
        <v>308</v>
      </c>
      <c r="AR78" s="32">
        <f>集計表!AT11</f>
        <v>308</v>
      </c>
    </row>
    <row r="79" spans="1:45" s="42" customFormat="1" ht="13.5" customHeight="1" x14ac:dyDescent="0.2">
      <c r="A79" s="50" t="s">
        <v>23</v>
      </c>
      <c r="B79" s="51">
        <f>IFERROR(B77/B78, "")</f>
        <v>1.0855018587360594</v>
      </c>
      <c r="C79" s="51">
        <f t="shared" ref="C79" si="4">IFERROR(C77/C78, "")</f>
        <v>1.033457249070632</v>
      </c>
      <c r="D79" s="51">
        <f t="shared" ref="D79" si="5">IFERROR(D77/D78, "")</f>
        <v>1.0223048327137547</v>
      </c>
      <c r="E79" s="51">
        <f t="shared" ref="E79" si="6">IFERROR(E77/E78, "")</f>
        <v>1.0743494423791822</v>
      </c>
      <c r="F79" s="51">
        <f t="shared" ref="F79" si="7">IFERROR(F77/F78, "")</f>
        <v>1.1412639405204461</v>
      </c>
      <c r="G79" s="51">
        <f t="shared" ref="G79" si="8">IFERROR(G77/G78, "")</f>
        <v>1.1524163568773234</v>
      </c>
      <c r="H79" s="51">
        <f t="shared" ref="H79" si="9">IFERROR(H77/H78, "")</f>
        <v>1.2342007434944238</v>
      </c>
      <c r="I79" s="51">
        <f t="shared" ref="I79" si="10">IFERROR(I77/I78, "")</f>
        <v>1.1512915129151291</v>
      </c>
      <c r="J79" s="51">
        <f t="shared" ref="J79" si="11">IFERROR(J77/J78, "")</f>
        <v>1.1992619926199262</v>
      </c>
      <c r="K79" s="51">
        <f t="shared" ref="K79" si="12">IFERROR(K77/K78, "")</f>
        <v>1.1439114391143912</v>
      </c>
      <c r="L79" s="51">
        <f t="shared" ref="L79" si="13">IFERROR(L77/L78, "")</f>
        <v>1.2398523985239853</v>
      </c>
      <c r="M79" s="51">
        <f t="shared" ref="M79" si="14">IFERROR(M77/M78, "")</f>
        <v>1.3025830258302582</v>
      </c>
      <c r="N79" s="51">
        <f t="shared" ref="N79" si="15">IFERROR(N77/N78, "")</f>
        <v>1.2841328413284132</v>
      </c>
      <c r="O79" s="51">
        <f t="shared" ref="O79" si="16">IFERROR(O77/O78, "")</f>
        <v>1.2472324723247232</v>
      </c>
      <c r="P79" s="51">
        <f t="shared" ref="P79" si="17">IFERROR(P77/P78, "")</f>
        <v>1.3284132841328413</v>
      </c>
      <c r="Q79" s="51">
        <f t="shared" ref="Q79" si="18">IFERROR(Q77/Q78, "")</f>
        <v>1.2836363636363637</v>
      </c>
      <c r="R79" s="51">
        <f t="shared" ref="R79" si="19">IFERROR(R77/R78, "")</f>
        <v>1.2145454545454546</v>
      </c>
      <c r="S79" s="51">
        <f t="shared" ref="S79" si="20">IFERROR(S77/S78, "")</f>
        <v>1.3381818181818181</v>
      </c>
      <c r="T79" s="51">
        <f t="shared" ref="T79" si="21">IFERROR(T77/T78, "")</f>
        <v>1.3018181818181818</v>
      </c>
      <c r="U79" s="51">
        <f t="shared" ref="U79" si="22">IFERROR(U77/U78, "")</f>
        <v>1.4036363636363636</v>
      </c>
      <c r="V79" s="51">
        <f t="shared" ref="V79" si="23">IFERROR(V77/V78, "")</f>
        <v>1.4327272727272726</v>
      </c>
      <c r="W79" s="51">
        <f t="shared" ref="W79" si="24">IFERROR(W77/W78, "")</f>
        <v>1.5490909090909091</v>
      </c>
      <c r="X79" s="51">
        <f t="shared" ref="X79" si="25">IFERROR(X77/X78, "")</f>
        <v>1.4175438596491228</v>
      </c>
      <c r="Y79" s="51">
        <f t="shared" ref="Y79" si="26">IFERROR(Y77/Y78, "")</f>
        <v>1.4456140350877194</v>
      </c>
      <c r="Z79" s="51">
        <f t="shared" ref="Z79" si="27">IFERROR(Z77/Z78, "")</f>
        <v>1.4771929824561403</v>
      </c>
      <c r="AA79" s="51">
        <f t="shared" ref="AA79" si="28">IFERROR(AA77/AA78, "")</f>
        <v>1.5368421052631578</v>
      </c>
      <c r="AB79" s="51">
        <f t="shared" ref="AB79" si="29">IFERROR(AB77/AB78, "")</f>
        <v>1.5754385964912281</v>
      </c>
      <c r="AC79" s="51" t="str">
        <f t="shared" ref="AC79" si="30">IFERROR(AC77/AC78, "")</f>
        <v/>
      </c>
      <c r="AD79" s="51" t="str">
        <f t="shared" ref="AD79" si="31">IFERROR(AD77/AD78, "")</f>
        <v/>
      </c>
      <c r="AE79" s="51" t="str">
        <f t="shared" ref="AE79" si="32">IFERROR(AE77/AE78, "")</f>
        <v/>
      </c>
      <c r="AF79" s="51" t="str">
        <f t="shared" ref="AF79" si="33">IFERROR(AF77/AF78, "")</f>
        <v/>
      </c>
      <c r="AG79" s="51" t="str">
        <f t="shared" ref="AG79" si="34">IFERROR(AG77/AG78, "")</f>
        <v/>
      </c>
      <c r="AH79" s="51" t="str">
        <f t="shared" ref="AH79" si="35">IFERROR(AH77/AH78, "")</f>
        <v/>
      </c>
      <c r="AI79" s="51" t="str">
        <f t="shared" ref="AI79" si="36">IFERROR(AI77/AI78, "")</f>
        <v/>
      </c>
      <c r="AJ79" s="51" t="str">
        <f t="shared" ref="AJ79" si="37">IFERROR(AJ77/AJ78, "")</f>
        <v/>
      </c>
      <c r="AK79" s="51" t="str">
        <f t="shared" ref="AK79" si="38">IFERROR(AK77/AK78, "")</f>
        <v/>
      </c>
      <c r="AL79" s="51" t="str">
        <f t="shared" ref="AL79:AN79" si="39">IFERROR(AL77/AL78, "")</f>
        <v/>
      </c>
      <c r="AM79" s="51" t="str">
        <f t="shared" ref="AM79:AO79" si="40">IFERROR(AM77/AM78, "")</f>
        <v/>
      </c>
      <c r="AN79" s="51" t="str">
        <f t="shared" si="39"/>
        <v/>
      </c>
      <c r="AO79" s="51" t="str">
        <f t="shared" si="40"/>
        <v/>
      </c>
      <c r="AP79" s="51" t="str">
        <f t="shared" ref="AP79:AQ79" si="41">IFERROR(AP77/AP78, "")</f>
        <v/>
      </c>
      <c r="AQ79" s="51" t="str">
        <f t="shared" si="41"/>
        <v/>
      </c>
      <c r="AR79" s="51" t="str">
        <f t="shared" ref="AR79" si="42">IFERROR(AR77/AR78, "")</f>
        <v/>
      </c>
    </row>
    <row r="80" spans="1:45" s="33" customFormat="1" ht="30" customHeight="1" x14ac:dyDescent="0.2">
      <c r="A80" s="33" t="s">
        <v>24</v>
      </c>
      <c r="B80" s="34"/>
      <c r="C80" s="34"/>
      <c r="D80" s="35"/>
      <c r="E80" s="34"/>
      <c r="F80" s="36"/>
      <c r="G80" s="34"/>
      <c r="H80" s="34"/>
      <c r="I80" s="34"/>
      <c r="J80" s="34"/>
      <c r="K80" s="37"/>
      <c r="L80" s="34"/>
      <c r="M80" s="37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Q80"/>
      <c r="AR80"/>
      <c r="AS80"/>
    </row>
    <row r="81" spans="1:15" ht="15.6" x14ac:dyDescent="0.2">
      <c r="A81" s="19" t="s">
        <v>12</v>
      </c>
      <c r="B81" s="10"/>
      <c r="C81" s="10"/>
      <c r="D81" s="10"/>
      <c r="E81" s="10"/>
      <c r="F81" s="10"/>
      <c r="G81" s="10"/>
      <c r="H81" s="10"/>
      <c r="I81" s="10"/>
      <c r="J81" s="10"/>
      <c r="K81" s="10" t="str">
        <f>TEXT(集計表!$C$1,"(e.m/d～)")</f>
        <v>(8.6/1～)</v>
      </c>
      <c r="N81" s="10"/>
    </row>
    <row r="82" spans="1:15" ht="15.6" x14ac:dyDescent="0.2">
      <c r="A82" s="19" t="s">
        <v>18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113" spans="1:44" ht="13.2" customHeight="1" x14ac:dyDescent="0.2"/>
    <row r="114" spans="1:44" s="39" customFormat="1" ht="16.2" customHeight="1" x14ac:dyDescent="0.2">
      <c r="B114" s="38"/>
      <c r="C114" s="38"/>
      <c r="D114" s="40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40"/>
      <c r="S114" s="38"/>
      <c r="T114" s="38"/>
      <c r="U114" s="38"/>
      <c r="V114" s="38"/>
      <c r="W114" s="38"/>
      <c r="X114" s="38"/>
      <c r="Y114" s="38"/>
      <c r="Z114" s="38"/>
      <c r="AA114" s="40"/>
      <c r="AB114" s="38"/>
      <c r="AC114" s="38"/>
      <c r="AD114" s="38"/>
      <c r="AE114" s="38"/>
      <c r="AF114" s="62"/>
      <c r="AG114" s="38"/>
      <c r="AH114" s="38"/>
      <c r="AI114" s="38"/>
      <c r="AJ114" s="44"/>
      <c r="AL114" s="38"/>
      <c r="AM114" s="38"/>
      <c r="AN114" s="44"/>
      <c r="AO114" s="38"/>
      <c r="AP114" s="38"/>
      <c r="AQ114" s="38"/>
      <c r="AR114" s="38"/>
    </row>
    <row r="115" spans="1:44" x14ac:dyDescent="0.2">
      <c r="A115" s="45">
        <f>集計表!C13</f>
        <v>46174</v>
      </c>
      <c r="B115" s="58" t="str">
        <f>集計表!D13</f>
        <v>6/1</v>
      </c>
      <c r="C115" s="47" t="str">
        <f>集計表!E13</f>
        <v>2</v>
      </c>
      <c r="D115" s="47" t="str">
        <f>集計表!F13</f>
        <v>4</v>
      </c>
      <c r="E115" s="47" t="str">
        <f>集計表!G13</f>
        <v>5</v>
      </c>
      <c r="F115" s="47" t="str">
        <f>集計表!H13</f>
        <v>6</v>
      </c>
      <c r="G115" s="47" t="str">
        <f>集計表!I13</f>
        <v>8</v>
      </c>
      <c r="H115" s="47" t="str">
        <f>集計表!J13</f>
        <v>9</v>
      </c>
      <c r="I115" s="47" t="str">
        <f>集計表!K13</f>
        <v>11</v>
      </c>
      <c r="J115" s="47" t="str">
        <f>集計表!L13</f>
        <v>12</v>
      </c>
      <c r="K115" s="47" t="str">
        <f>集計表!M13</f>
        <v>13</v>
      </c>
      <c r="L115" s="47" t="str">
        <f>集計表!N13</f>
        <v>15</v>
      </c>
      <c r="M115" s="47" t="str">
        <f>集計表!O13</f>
        <v>16</v>
      </c>
      <c r="N115" s="47" t="str">
        <f>集計表!P13</f>
        <v>18</v>
      </c>
      <c r="O115" s="47" t="str">
        <f>集計表!Q13</f>
        <v>19</v>
      </c>
      <c r="P115" s="47" t="str">
        <f>集計表!R13</f>
        <v>20</v>
      </c>
      <c r="Q115" s="47" t="str">
        <f>集計表!S13</f>
        <v>22</v>
      </c>
      <c r="R115" s="47" t="str">
        <f>集計表!T13</f>
        <v>23</v>
      </c>
      <c r="S115" s="47" t="str">
        <f>集計表!U13</f>
        <v>25</v>
      </c>
      <c r="T115" s="47" t="str">
        <f>集計表!V13</f>
        <v>26</v>
      </c>
      <c r="U115" s="47" t="str">
        <f>集計表!W13</f>
        <v>27</v>
      </c>
      <c r="V115" s="47" t="str">
        <f>集計表!X13</f>
        <v>29</v>
      </c>
      <c r="W115" s="47" t="str">
        <f>集計表!Y13</f>
        <v>30</v>
      </c>
      <c r="X115" s="47" t="str">
        <f>集計表!Z13</f>
        <v>7/2</v>
      </c>
      <c r="Y115" s="47" t="str">
        <f>集計表!AA13</f>
        <v>3</v>
      </c>
      <c r="Z115" s="47" t="str">
        <f>集計表!AB13</f>
        <v>4</v>
      </c>
      <c r="AA115" s="47" t="str">
        <f>集計表!AC13</f>
        <v>6</v>
      </c>
      <c r="AB115" s="47" t="str">
        <f>集計表!AD13</f>
        <v>7</v>
      </c>
      <c r="AC115" s="47" t="str">
        <f>集計表!AE13</f>
        <v>9</v>
      </c>
      <c r="AD115" s="47" t="str">
        <f>集計表!AF13</f>
        <v>10</v>
      </c>
      <c r="AE115" s="47" t="str">
        <f>集計表!AG13</f>
        <v>11</v>
      </c>
      <c r="AF115" s="47" t="str">
        <f>集計表!AH13</f>
        <v>13</v>
      </c>
      <c r="AG115" s="47" t="str">
        <f>集計表!AI13</f>
        <v>14</v>
      </c>
      <c r="AH115" s="47" t="str">
        <f>集計表!AJ13</f>
        <v>16</v>
      </c>
      <c r="AI115" s="47" t="str">
        <f>集計表!AK13</f>
        <v>17</v>
      </c>
      <c r="AJ115" s="47" t="str">
        <f>集計表!AL13</f>
        <v>18</v>
      </c>
      <c r="AK115" s="47" t="str">
        <f>集計表!AM13</f>
        <v>21</v>
      </c>
      <c r="AL115" s="47" t="str">
        <f>集計表!AN13</f>
        <v>23</v>
      </c>
      <c r="AM115" s="47" t="str">
        <f>集計表!AO13</f>
        <v>24</v>
      </c>
      <c r="AN115" s="47" t="str">
        <f>集計表!AP13</f>
        <v>25</v>
      </c>
      <c r="AO115" s="47" t="str">
        <f>集計表!AQ13</f>
        <v>27</v>
      </c>
      <c r="AP115" s="47" t="str">
        <f>集計表!AR13</f>
        <v>28</v>
      </c>
      <c r="AQ115" s="47" t="str">
        <f>集計表!AS13</f>
        <v>30</v>
      </c>
      <c r="AR115" s="47" t="str">
        <f>集計表!AT13</f>
        <v>31</v>
      </c>
    </row>
    <row r="116" spans="1:44" s="42" customFormat="1" x14ac:dyDescent="0.2">
      <c r="A116" s="49" t="s">
        <v>0</v>
      </c>
      <c r="B116" s="41">
        <f>IF(集計表!D15="","",集計表!D15)</f>
        <v>85.244</v>
      </c>
      <c r="C116" s="41">
        <f>IF(集計表!E15="","",集計表!E15)</f>
        <v>50.195999999999998</v>
      </c>
      <c r="D116" s="41">
        <f>IF(集計表!F15="","",集計表!F15)</f>
        <v>77.613</v>
      </c>
      <c r="E116" s="41">
        <f>IF(集計表!G15="","",集計表!G15)</f>
        <v>42.024999999999999</v>
      </c>
      <c r="F116" s="41">
        <f>IF(集計表!H15="","",集計表!H15)</f>
        <v>56.293999999999997</v>
      </c>
      <c r="G116" s="41">
        <f>IF(集計表!I15="","",集計表!I15)</f>
        <v>72.8</v>
      </c>
      <c r="H116" s="41">
        <f>IF(集計表!J15="","",集計表!J15)</f>
        <v>48.997</v>
      </c>
      <c r="I116" s="41">
        <f>IF(集計表!K15="","",集計表!K15)</f>
        <v>56.929000000000002</v>
      </c>
      <c r="J116" s="41">
        <f>IF(集計表!L15="","",集計表!L15)</f>
        <v>42.701000000000001</v>
      </c>
      <c r="K116" s="41">
        <f>IF(集計表!M15="","",集計表!M15)</f>
        <v>35.561</v>
      </c>
      <c r="L116" s="41">
        <f>IF(集計表!N15="","",集計表!N15)</f>
        <v>62.146999999999998</v>
      </c>
      <c r="M116" s="41">
        <f>IF(集計表!O15="","",集計表!O15)</f>
        <v>53.11</v>
      </c>
      <c r="N116" s="41">
        <f>IF(集計表!P15="","",集計表!P15)</f>
        <v>79.212999999999994</v>
      </c>
      <c r="O116" s="41">
        <f>IF(集計表!Q15="","",集計表!Q15)</f>
        <v>46.01</v>
      </c>
      <c r="P116" s="41">
        <f>IF(集計表!R15="","",集計表!R15)</f>
        <v>54.115000000000002</v>
      </c>
      <c r="Q116" s="41">
        <f>IF(集計表!S15="","",集計表!S15)</f>
        <v>77.849000000000004</v>
      </c>
      <c r="R116" s="41">
        <f>IF(集計表!T15="","",集計表!T15)</f>
        <v>52.22</v>
      </c>
      <c r="S116" s="41">
        <f>IF(集計表!U15="","",集計表!U15)</f>
        <v>67.331999999999994</v>
      </c>
      <c r="T116" s="41">
        <f>IF(集計表!V15="","",集計表!V15)</f>
        <v>54.034999999999997</v>
      </c>
      <c r="U116" s="41">
        <f>IF(集計表!W15="","",集計表!W15)</f>
        <v>38.972000000000001</v>
      </c>
      <c r="V116" s="41">
        <f>IF(集計表!X15="","",集計表!X15)</f>
        <v>70.745000000000005</v>
      </c>
      <c r="W116" s="41">
        <f>IF(集計表!Y15="","",集計表!Y15)</f>
        <v>43.777000000000001</v>
      </c>
      <c r="X116" s="41">
        <f>IF(集計表!Z15="","",集計表!Z15)</f>
        <v>83.552999999999997</v>
      </c>
      <c r="Y116" s="41">
        <f>IF(集計表!AA15="","",集計表!AA15)</f>
        <v>41.194000000000003</v>
      </c>
      <c r="Z116" s="41">
        <f>IF(集計表!AB15="","",集計表!AB15)</f>
        <v>41.341000000000001</v>
      </c>
      <c r="AA116" s="41">
        <f>IF(集計表!AC15="","",集計表!AC15)</f>
        <v>64.293999999999997</v>
      </c>
      <c r="AB116" s="41">
        <f>IF(集計表!AD15="","",集計表!AD15)</f>
        <v>45.091999999999999</v>
      </c>
      <c r="AC116" s="41" t="str">
        <f>IF(集計表!AE15="","",集計表!AE15)</f>
        <v/>
      </c>
      <c r="AD116" s="41" t="str">
        <f>IF(集計表!AF15="","",集計表!AF15)</f>
        <v/>
      </c>
      <c r="AE116" s="41" t="str">
        <f>IF(集計表!AG15="","",集計表!AG15)</f>
        <v/>
      </c>
      <c r="AF116" s="41" t="str">
        <f>IF(集計表!AH15="","",集計表!AH15)</f>
        <v/>
      </c>
      <c r="AG116" s="41" t="str">
        <f>IF(集計表!AI15="","",集計表!AI15)</f>
        <v/>
      </c>
      <c r="AH116" s="41" t="str">
        <f>IF(集計表!AJ15="","",集計表!AJ15)</f>
        <v/>
      </c>
      <c r="AI116" s="41" t="str">
        <f>IF(集計表!AK15="","",集計表!AK15)</f>
        <v/>
      </c>
      <c r="AJ116" s="41" t="str">
        <f>IF(集計表!AL15="","",集計表!AL15)</f>
        <v/>
      </c>
      <c r="AK116" s="41" t="str">
        <f>IF(集計表!AM15="","",集計表!AM15)</f>
        <v/>
      </c>
      <c r="AL116" s="41" t="str">
        <f>IF(集計表!AN15="","",集計表!AN15)</f>
        <v/>
      </c>
      <c r="AM116" s="41" t="str">
        <f>IF(集計表!AO15="","",集計表!AO15)</f>
        <v/>
      </c>
      <c r="AN116" s="41" t="str">
        <f>IF(集計表!AP15="","",集計表!AP15)</f>
        <v/>
      </c>
      <c r="AO116" s="41" t="str">
        <f>IF(集計表!AQ15="","",集計表!AQ15)</f>
        <v/>
      </c>
      <c r="AP116" s="41" t="str">
        <f>IF(集計表!AR15="","",集計表!AR15)</f>
        <v/>
      </c>
      <c r="AQ116" s="41" t="str">
        <f>IF(集計表!AS15="","",集計表!AS15)</f>
        <v/>
      </c>
      <c r="AR116" s="41" t="str">
        <f>IF(集計表!AT15="","",集計表!AT15)</f>
        <v/>
      </c>
    </row>
    <row r="117" spans="1:44" s="42" customFormat="1" x14ac:dyDescent="0.2">
      <c r="A117" s="49" t="s">
        <v>1</v>
      </c>
      <c r="B117" s="41">
        <f>IF(集計表!D16=0,NA(),集計表!D16)</f>
        <v>241</v>
      </c>
      <c r="C117" s="41">
        <f>IF(集計表!E16=0,NA(),集計表!E16)</f>
        <v>256</v>
      </c>
      <c r="D117" s="41">
        <f>IF(集計表!F16=0,NA(),集計表!F16)</f>
        <v>250</v>
      </c>
      <c r="E117" s="41">
        <f>IF(集計表!G16=0,NA(),集計表!G16)</f>
        <v>278</v>
      </c>
      <c r="F117" s="41">
        <f>IF(集計表!H16=0,NA(),集計表!H16)</f>
        <v>265</v>
      </c>
      <c r="G117" s="41">
        <f>IF(集計表!I16=0,NA(),集計表!I16)</f>
        <v>295</v>
      </c>
      <c r="H117" s="41">
        <f>IF(集計表!J16=0,NA(),集計表!J16)</f>
        <v>337</v>
      </c>
      <c r="I117" s="41">
        <f>IF(集計表!K16=0,NA(),集計表!K16)</f>
        <v>324</v>
      </c>
      <c r="J117" s="41">
        <f>IF(集計表!L16=0,NA(),集計表!L16)</f>
        <v>345</v>
      </c>
      <c r="K117" s="41">
        <f>IF(集計表!M16=0,NA(),集計表!M16)</f>
        <v>351</v>
      </c>
      <c r="L117" s="41">
        <f>IF(集計表!N16=0,NA(),集計表!N16)</f>
        <v>370</v>
      </c>
      <c r="M117" s="41">
        <f>IF(集計表!O16=0,NA(),集計表!O16)</f>
        <v>390</v>
      </c>
      <c r="N117" s="41">
        <f>IF(集計表!P16=0,NA(),集計表!P16)</f>
        <v>368</v>
      </c>
      <c r="O117" s="41">
        <f>IF(集計表!Q16=0,NA(),集計表!Q16)</f>
        <v>377</v>
      </c>
      <c r="P117" s="41">
        <f>IF(集計表!R16=0,NA(),集計表!R16)</f>
        <v>379</v>
      </c>
      <c r="Q117" s="41">
        <f>IF(集計表!S16=0,NA(),集計表!S16)</f>
        <v>379</v>
      </c>
      <c r="R117" s="41">
        <f>IF(集計表!T16=0,NA(),集計表!T16)</f>
        <v>362</v>
      </c>
      <c r="S117" s="41">
        <f>IF(集計表!U16=0,NA(),集計表!U16)</f>
        <v>366</v>
      </c>
      <c r="T117" s="41">
        <f>IF(集計表!V16=0,NA(),集計表!V16)</f>
        <v>382</v>
      </c>
      <c r="U117" s="41">
        <f>IF(集計表!W16=0,NA(),集計表!W16)</f>
        <v>363</v>
      </c>
      <c r="V117" s="41">
        <f>IF(集計表!X16=0,NA(),集計表!X16)</f>
        <v>402</v>
      </c>
      <c r="W117" s="41">
        <f>IF(集計表!Y16=0,NA(),集計表!Y16)</f>
        <v>375</v>
      </c>
      <c r="X117" s="41">
        <f>IF(集計表!Z16=0,NA(),集計表!Z16)</f>
        <v>396</v>
      </c>
      <c r="Y117" s="41">
        <f>IF(集計表!AA16=0,NA(),集計表!AA16)</f>
        <v>406</v>
      </c>
      <c r="Z117" s="41">
        <f>IF(集計表!AB16=0,NA(),集計表!AB16)</f>
        <v>433</v>
      </c>
      <c r="AA117" s="41">
        <f>IF(集計表!AC16=0,NA(),集計表!AC16)</f>
        <v>454</v>
      </c>
      <c r="AB117" s="41">
        <f>IF(集計表!AD16=0,NA(),集計表!AD16)</f>
        <v>477</v>
      </c>
      <c r="AC117" s="41" t="e">
        <f>IF(集計表!AE16=0,NA(),集計表!AE16)</f>
        <v>#N/A</v>
      </c>
      <c r="AD117" s="41" t="e">
        <f>IF(集計表!AF16=0,NA(),集計表!AF16)</f>
        <v>#N/A</v>
      </c>
      <c r="AE117" s="41" t="e">
        <f>IF(集計表!AG16=0,NA(),集計表!AG16)</f>
        <v>#N/A</v>
      </c>
      <c r="AF117" s="41" t="e">
        <f>IF(集計表!AH16=0,NA(),集計表!AH16)</f>
        <v>#N/A</v>
      </c>
      <c r="AG117" s="41" t="e">
        <f>IF(集計表!AI16=0,NA(),集計表!AI16)</f>
        <v>#N/A</v>
      </c>
      <c r="AH117" s="41" t="e">
        <f>IF(集計表!AJ16=0,NA(),集計表!AJ16)</f>
        <v>#N/A</v>
      </c>
      <c r="AI117" s="41" t="e">
        <f>IF(集計表!AK16=0,NA(),集計表!AK16)</f>
        <v>#N/A</v>
      </c>
      <c r="AJ117" s="41" t="e">
        <f>IF(集計表!AL16=0,NA(),集計表!AL16)</f>
        <v>#N/A</v>
      </c>
      <c r="AK117" s="41" t="e">
        <f>IF(集計表!AM16=0,NA(),集計表!AM16)</f>
        <v>#N/A</v>
      </c>
      <c r="AL117" s="41" t="e">
        <f>IF(集計表!AN16=0,NA(),集計表!AN16)</f>
        <v>#N/A</v>
      </c>
      <c r="AM117" s="41" t="e">
        <f>IF(集計表!AO16=0,NA(),集計表!AO16)</f>
        <v>#N/A</v>
      </c>
      <c r="AN117" s="41" t="e">
        <f>IF(集計表!AP16=0,NA(),集計表!AP16)</f>
        <v>#N/A</v>
      </c>
      <c r="AO117" s="41" t="e">
        <f>IF(集計表!AQ16=0,NA(),集計表!AQ16)</f>
        <v>#N/A</v>
      </c>
      <c r="AP117" s="41" t="e">
        <f>IF(集計表!AR16=0,NA(),集計表!AR16)</f>
        <v>#N/A</v>
      </c>
      <c r="AQ117" s="41" t="e">
        <f>IF(集計表!AS16=0,NA(),集計表!AS16)</f>
        <v>#N/A</v>
      </c>
      <c r="AR117" s="41" t="e">
        <f>IF(集計表!AT16=0,NA(),集計表!AT16)</f>
        <v>#N/A</v>
      </c>
    </row>
    <row r="118" spans="1:44" s="42" customFormat="1" x14ac:dyDescent="0.2">
      <c r="A118" s="49" t="s">
        <v>2</v>
      </c>
      <c r="B118" s="32">
        <f>集計表!D17</f>
        <v>252</v>
      </c>
      <c r="C118" s="32">
        <f>集計表!E17</f>
        <v>252</v>
      </c>
      <c r="D118" s="32">
        <f>集計表!F17</f>
        <v>252</v>
      </c>
      <c r="E118" s="32">
        <f>集計表!G17</f>
        <v>252</v>
      </c>
      <c r="F118" s="32">
        <f>集計表!H17</f>
        <v>252</v>
      </c>
      <c r="G118" s="32">
        <f>集計表!I17</f>
        <v>252</v>
      </c>
      <c r="H118" s="32">
        <f>集計表!J17</f>
        <v>252</v>
      </c>
      <c r="I118" s="32">
        <f>集計表!K17</f>
        <v>258</v>
      </c>
      <c r="J118" s="32">
        <f>集計表!L17</f>
        <v>258</v>
      </c>
      <c r="K118" s="32">
        <f>集計表!M17</f>
        <v>258</v>
      </c>
      <c r="L118" s="32">
        <f>集計表!N17</f>
        <v>258</v>
      </c>
      <c r="M118" s="32">
        <f>集計表!O17</f>
        <v>258</v>
      </c>
      <c r="N118" s="32">
        <f>集計表!P17</f>
        <v>258</v>
      </c>
      <c r="O118" s="32">
        <f>集計表!Q17</f>
        <v>258</v>
      </c>
      <c r="P118" s="32">
        <f>集計表!R17</f>
        <v>258</v>
      </c>
      <c r="Q118" s="32">
        <f>集計表!S17</f>
        <v>266</v>
      </c>
      <c r="R118" s="32">
        <f>集計表!T17</f>
        <v>266</v>
      </c>
      <c r="S118" s="32">
        <f>集計表!U17</f>
        <v>266</v>
      </c>
      <c r="T118" s="32">
        <f>集計表!V17</f>
        <v>266</v>
      </c>
      <c r="U118" s="32">
        <f>集計表!W17</f>
        <v>266</v>
      </c>
      <c r="V118" s="32">
        <f>集計表!X17</f>
        <v>266</v>
      </c>
      <c r="W118" s="32">
        <f>集計表!Y17</f>
        <v>266</v>
      </c>
      <c r="X118" s="32">
        <f>集計表!Z17</f>
        <v>280</v>
      </c>
      <c r="Y118" s="32">
        <f>集計表!AA17</f>
        <v>280</v>
      </c>
      <c r="Z118" s="32">
        <f>集計表!AB17</f>
        <v>280</v>
      </c>
      <c r="AA118" s="32">
        <f>集計表!AC17</f>
        <v>280</v>
      </c>
      <c r="AB118" s="32">
        <f>集計表!AD17</f>
        <v>280</v>
      </c>
      <c r="AC118" s="32">
        <f>集計表!AE17</f>
        <v>280</v>
      </c>
      <c r="AD118" s="32">
        <f>集計表!AF17</f>
        <v>280</v>
      </c>
      <c r="AE118" s="32">
        <f>集計表!AG17</f>
        <v>316</v>
      </c>
      <c r="AF118" s="32">
        <f>集計表!AH17</f>
        <v>316</v>
      </c>
      <c r="AG118" s="32">
        <f>集計表!AI17</f>
        <v>316</v>
      </c>
      <c r="AH118" s="32">
        <f>集計表!AJ17</f>
        <v>316</v>
      </c>
      <c r="AI118" s="32">
        <f>集計表!AK17</f>
        <v>316</v>
      </c>
      <c r="AJ118" s="32">
        <f>集計表!AL17</f>
        <v>316</v>
      </c>
      <c r="AK118" s="32">
        <f>集計表!AM17</f>
        <v>298</v>
      </c>
      <c r="AL118" s="32">
        <f>集計表!AN17</f>
        <v>298</v>
      </c>
      <c r="AM118" s="32">
        <f>集計表!AO17</f>
        <v>298</v>
      </c>
      <c r="AN118" s="32">
        <f>集計表!AP17</f>
        <v>298</v>
      </c>
      <c r="AO118" s="32">
        <f>集計表!AQ17</f>
        <v>298</v>
      </c>
      <c r="AP118" s="32">
        <f>集計表!AR17</f>
        <v>298</v>
      </c>
      <c r="AQ118" s="32">
        <f>集計表!AS17</f>
        <v>298</v>
      </c>
      <c r="AR118" s="32">
        <f>集計表!AT17</f>
        <v>298</v>
      </c>
    </row>
    <row r="119" spans="1:44" s="42" customFormat="1" ht="13.5" customHeight="1" x14ac:dyDescent="0.2">
      <c r="A119" s="50" t="s">
        <v>23</v>
      </c>
      <c r="B119" s="51">
        <f>IFERROR(B117/B118, "")</f>
        <v>0.95634920634920639</v>
      </c>
      <c r="C119" s="51">
        <f t="shared" ref="C119" si="43">IFERROR(C117/C118, "")</f>
        <v>1.0158730158730158</v>
      </c>
      <c r="D119" s="51">
        <f t="shared" ref="D119" si="44">IFERROR(D117/D118, "")</f>
        <v>0.99206349206349209</v>
      </c>
      <c r="E119" s="51">
        <f t="shared" ref="E119" si="45">IFERROR(E117/E118, "")</f>
        <v>1.1031746031746033</v>
      </c>
      <c r="F119" s="51">
        <f t="shared" ref="F119" si="46">IFERROR(F117/F118, "")</f>
        <v>1.0515873015873016</v>
      </c>
      <c r="G119" s="51">
        <f t="shared" ref="G119" si="47">IFERROR(G117/G118, "")</f>
        <v>1.1706349206349207</v>
      </c>
      <c r="H119" s="51">
        <f t="shared" ref="H119" si="48">IFERROR(H117/H118, "")</f>
        <v>1.3373015873015872</v>
      </c>
      <c r="I119" s="51">
        <f t="shared" ref="I119" si="49">IFERROR(I117/I118, "")</f>
        <v>1.2558139534883721</v>
      </c>
      <c r="J119" s="51">
        <f t="shared" ref="J119" si="50">IFERROR(J117/J118, "")</f>
        <v>1.3372093023255813</v>
      </c>
      <c r="K119" s="51">
        <f t="shared" ref="K119" si="51">IFERROR(K117/K118, "")</f>
        <v>1.3604651162790697</v>
      </c>
      <c r="L119" s="51">
        <f t="shared" ref="L119" si="52">IFERROR(L117/L118, "")</f>
        <v>1.4341085271317831</v>
      </c>
      <c r="M119" s="51">
        <f t="shared" ref="M119" si="53">IFERROR(M117/M118, "")</f>
        <v>1.5116279069767442</v>
      </c>
      <c r="N119" s="51">
        <f t="shared" ref="N119" si="54">IFERROR(N117/N118, "")</f>
        <v>1.4263565891472869</v>
      </c>
      <c r="O119" s="51">
        <f t="shared" ref="O119" si="55">IFERROR(O117/O118, "")</f>
        <v>1.4612403100775193</v>
      </c>
      <c r="P119" s="51">
        <f t="shared" ref="P119" si="56">IFERROR(P117/P118, "")</f>
        <v>1.4689922480620154</v>
      </c>
      <c r="Q119" s="51">
        <f t="shared" ref="Q119" si="57">IFERROR(Q117/Q118, "")</f>
        <v>1.4248120300751879</v>
      </c>
      <c r="R119" s="51">
        <f t="shared" ref="R119" si="58">IFERROR(R117/R118, "")</f>
        <v>1.3609022556390977</v>
      </c>
      <c r="S119" s="51">
        <f t="shared" ref="S119" si="59">IFERROR(S117/S118, "")</f>
        <v>1.3759398496240602</v>
      </c>
      <c r="T119" s="51">
        <f t="shared" ref="T119" si="60">IFERROR(T117/T118, "")</f>
        <v>1.4360902255639099</v>
      </c>
      <c r="U119" s="51">
        <f t="shared" ref="U119" si="61">IFERROR(U117/U118, "")</f>
        <v>1.3646616541353382</v>
      </c>
      <c r="V119" s="51">
        <f t="shared" ref="V119" si="62">IFERROR(V117/V118, "")</f>
        <v>1.5112781954887218</v>
      </c>
      <c r="W119" s="51">
        <f t="shared" ref="W119" si="63">IFERROR(W117/W118, "")</f>
        <v>1.4097744360902256</v>
      </c>
      <c r="X119" s="51">
        <f t="shared" ref="X119" si="64">IFERROR(X117/X118, "")</f>
        <v>1.4142857142857144</v>
      </c>
      <c r="Y119" s="51">
        <f t="shared" ref="Y119" si="65">IFERROR(Y117/Y118, "")</f>
        <v>1.45</v>
      </c>
      <c r="Z119" s="51">
        <f t="shared" ref="Z119" si="66">IFERROR(Z117/Z118, "")</f>
        <v>1.5464285714285715</v>
      </c>
      <c r="AA119" s="51">
        <f t="shared" ref="AA119" si="67">IFERROR(AA117/AA118, "")</f>
        <v>1.6214285714285714</v>
      </c>
      <c r="AB119" s="51">
        <f t="shared" ref="AB119" si="68">IFERROR(AB117/AB118, "")</f>
        <v>1.7035714285714285</v>
      </c>
      <c r="AC119" s="51" t="str">
        <f t="shared" ref="AC119" si="69">IFERROR(AC117/AC118, "")</f>
        <v/>
      </c>
      <c r="AD119" s="51" t="str">
        <f t="shared" ref="AD119" si="70">IFERROR(AD117/AD118, "")</f>
        <v/>
      </c>
      <c r="AE119" s="51" t="str">
        <f t="shared" ref="AE119" si="71">IFERROR(AE117/AE118, "")</f>
        <v/>
      </c>
      <c r="AF119" s="51" t="str">
        <f t="shared" ref="AF119" si="72">IFERROR(AF117/AF118, "")</f>
        <v/>
      </c>
      <c r="AG119" s="51" t="str">
        <f t="shared" ref="AG119" si="73">IFERROR(AG117/AG118, "")</f>
        <v/>
      </c>
      <c r="AH119" s="51" t="str">
        <f t="shared" ref="AH119" si="74">IFERROR(AH117/AH118, "")</f>
        <v/>
      </c>
      <c r="AI119" s="51" t="str">
        <f t="shared" ref="AI119" si="75">IFERROR(AI117/AI118, "")</f>
        <v/>
      </c>
      <c r="AJ119" s="51" t="str">
        <f t="shared" ref="AJ119" si="76">IFERROR(AJ117/AJ118, "")</f>
        <v/>
      </c>
      <c r="AK119" s="51" t="str">
        <f t="shared" ref="AK119" si="77">IFERROR(AK117/AK118, "")</f>
        <v/>
      </c>
      <c r="AL119" s="51" t="str">
        <f t="shared" ref="AL119:AN119" si="78">IFERROR(AL117/AL118, "")</f>
        <v/>
      </c>
      <c r="AM119" s="51" t="str">
        <f t="shared" ref="AM119:AO119" si="79">IFERROR(AM117/AM118, "")</f>
        <v/>
      </c>
      <c r="AN119" s="51" t="str">
        <f t="shared" si="78"/>
        <v/>
      </c>
      <c r="AO119" s="51" t="str">
        <f t="shared" si="79"/>
        <v/>
      </c>
      <c r="AP119" s="51" t="str">
        <f t="shared" ref="AP119:AQ119" si="80">IFERROR(AP117/AP118, "")</f>
        <v/>
      </c>
      <c r="AQ119" s="51" t="str">
        <f t="shared" si="80"/>
        <v/>
      </c>
      <c r="AR119" s="51" t="str">
        <f t="shared" ref="AR119" si="81">IFERROR(AR117/AR118, "")</f>
        <v/>
      </c>
    </row>
    <row r="120" spans="1:44" s="33" customFormat="1" ht="30" customHeight="1" x14ac:dyDescent="0.2">
      <c r="A120" s="33" t="s">
        <v>24</v>
      </c>
      <c r="B120" s="34"/>
      <c r="C120" s="34"/>
      <c r="D120" s="35"/>
      <c r="E120" s="34"/>
      <c r="F120" s="36"/>
      <c r="G120" s="34"/>
      <c r="H120" s="34"/>
      <c r="I120" s="34"/>
      <c r="J120" s="34"/>
      <c r="K120" s="37"/>
      <c r="L120" s="34"/>
      <c r="M120" s="3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spans="1:44" ht="15.6" x14ac:dyDescent="0.2">
      <c r="A121" s="19" t="s">
        <v>12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 t="str">
        <f>TEXT(集計表!$C$1,"(e.m/d～)")</f>
        <v>(8.6/1～)</v>
      </c>
      <c r="N121" s="10"/>
    </row>
    <row r="122" spans="1:44" ht="15.6" x14ac:dyDescent="0.2">
      <c r="A122" s="19" t="s">
        <v>19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53" spans="1:45" ht="13.5" customHeight="1" x14ac:dyDescent="0.2"/>
    <row r="154" spans="1:45" s="39" customFormat="1" ht="15.9" customHeight="1" x14ac:dyDescent="0.2">
      <c r="B154" s="38"/>
      <c r="C154" s="38"/>
      <c r="E154" s="38"/>
      <c r="F154" s="40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X154" s="38"/>
      <c r="Y154" s="38"/>
      <c r="Z154" s="38"/>
      <c r="AA154" s="40"/>
      <c r="AC154" s="38"/>
      <c r="AD154" s="38"/>
      <c r="AE154" s="38"/>
      <c r="AF154" s="38"/>
      <c r="AG154" s="38"/>
      <c r="AH154" s="38"/>
      <c r="AI154" s="38"/>
      <c r="AJ154" s="44"/>
      <c r="AK154" s="38"/>
      <c r="AN154" s="44"/>
      <c r="AO154" s="38"/>
      <c r="AP154" s="38"/>
      <c r="AR154" s="40"/>
    </row>
    <row r="155" spans="1:45" x14ac:dyDescent="0.2">
      <c r="A155" s="45">
        <f>集計表!C19</f>
        <v>46174</v>
      </c>
      <c r="B155" s="58" t="str">
        <f>集計表!D19</f>
        <v>6/1</v>
      </c>
      <c r="C155" s="59" t="str">
        <f>集計表!E19</f>
        <v>2</v>
      </c>
      <c r="D155" s="59" t="str">
        <f>集計表!F19</f>
        <v>4</v>
      </c>
      <c r="E155" s="59" t="str">
        <f>集計表!G19</f>
        <v>5</v>
      </c>
      <c r="F155" s="59" t="str">
        <f>集計表!H19</f>
        <v>6</v>
      </c>
      <c r="G155" s="59" t="str">
        <f>集計表!I19</f>
        <v>8</v>
      </c>
      <c r="H155" s="59" t="str">
        <f>集計表!J19</f>
        <v>9</v>
      </c>
      <c r="I155" s="59" t="str">
        <f>集計表!K19</f>
        <v>11</v>
      </c>
      <c r="J155" s="59" t="str">
        <f>集計表!L19</f>
        <v>12</v>
      </c>
      <c r="K155" s="59" t="str">
        <f>集計表!M19</f>
        <v>13</v>
      </c>
      <c r="L155" s="59" t="str">
        <f>集計表!N19</f>
        <v>15</v>
      </c>
      <c r="M155" s="59" t="str">
        <f>集計表!O19</f>
        <v>16</v>
      </c>
      <c r="N155" s="59" t="str">
        <f>集計表!P19</f>
        <v>18</v>
      </c>
      <c r="O155" s="59" t="str">
        <f>集計表!Q19</f>
        <v>19</v>
      </c>
      <c r="P155" s="59" t="str">
        <f>集計表!R19</f>
        <v>20</v>
      </c>
      <c r="Q155" s="59" t="str">
        <f>集計表!S19</f>
        <v>22</v>
      </c>
      <c r="R155" s="59" t="str">
        <f>集計表!T19</f>
        <v>23</v>
      </c>
      <c r="S155" s="59" t="str">
        <f>集計表!U19</f>
        <v>25</v>
      </c>
      <c r="T155" s="59" t="str">
        <f>集計表!V19</f>
        <v>26</v>
      </c>
      <c r="U155" s="59" t="str">
        <f>集計表!W19</f>
        <v>27</v>
      </c>
      <c r="V155" s="59" t="str">
        <f>集計表!X19</f>
        <v>29</v>
      </c>
      <c r="W155" s="59" t="str">
        <f>集計表!Y19</f>
        <v>30</v>
      </c>
      <c r="X155" s="61" t="str">
        <f>集計表!Z19</f>
        <v>7/2</v>
      </c>
      <c r="Y155" s="61" t="str">
        <f>集計表!AA19</f>
        <v>3</v>
      </c>
      <c r="Z155" s="61" t="str">
        <f>集計表!AB19</f>
        <v>4</v>
      </c>
      <c r="AA155" s="61" t="str">
        <f>集計表!AC19</f>
        <v>6</v>
      </c>
      <c r="AB155" s="61" t="str">
        <f>集計表!AD19</f>
        <v>7</v>
      </c>
      <c r="AC155" s="61" t="str">
        <f>集計表!AE19</f>
        <v>9</v>
      </c>
      <c r="AD155" s="61" t="str">
        <f>集計表!AF19</f>
        <v>10</v>
      </c>
      <c r="AE155" s="61" t="str">
        <f>集計表!AG19</f>
        <v>11</v>
      </c>
      <c r="AF155" s="61" t="str">
        <f>集計表!AH19</f>
        <v>13</v>
      </c>
      <c r="AG155" s="61" t="str">
        <f>集計表!AI19</f>
        <v>14</v>
      </c>
      <c r="AH155" s="61" t="str">
        <f>集計表!AJ19</f>
        <v>16</v>
      </c>
      <c r="AI155" s="61" t="str">
        <f>集計表!AK19</f>
        <v>17</v>
      </c>
      <c r="AJ155" s="61" t="str">
        <f>集計表!AL19</f>
        <v>18</v>
      </c>
      <c r="AK155" s="61" t="str">
        <f>集計表!AM19</f>
        <v>21</v>
      </c>
      <c r="AL155" s="61" t="str">
        <f>集計表!AN19</f>
        <v>23</v>
      </c>
      <c r="AM155" s="61" t="str">
        <f>集計表!AO19</f>
        <v>24</v>
      </c>
      <c r="AN155" s="61" t="str">
        <f>集計表!AP19</f>
        <v>25</v>
      </c>
      <c r="AO155" s="61" t="str">
        <f>集計表!AQ19</f>
        <v>27</v>
      </c>
      <c r="AP155" s="61" t="str">
        <f>集計表!AR19</f>
        <v>28</v>
      </c>
      <c r="AQ155" s="61" t="str">
        <f>集計表!AS19</f>
        <v>30</v>
      </c>
      <c r="AR155" s="61" t="str">
        <f>集計表!AT19</f>
        <v>31</v>
      </c>
    </row>
    <row r="156" spans="1:45" s="42" customFormat="1" x14ac:dyDescent="0.2">
      <c r="A156" s="49" t="s">
        <v>0</v>
      </c>
      <c r="B156" s="32">
        <f>IF(集計表!D21="","",集計表!D21)</f>
        <v>64.113</v>
      </c>
      <c r="C156" s="32">
        <f>IF(集計表!E21="","",集計表!E21)</f>
        <v>59.838999999999999</v>
      </c>
      <c r="D156" s="32">
        <f>IF(集計表!F21="","",集計表!F21)</f>
        <v>74.662999999999997</v>
      </c>
      <c r="E156" s="32">
        <f>IF(集計表!G21="","",集計表!G21)</f>
        <v>41.732999999999997</v>
      </c>
      <c r="F156" s="32">
        <f>IF(集計表!H21="","",集計表!H21)</f>
        <v>45.334000000000003</v>
      </c>
      <c r="G156" s="32">
        <f>IF(集計表!I21="","",集計表!I21)</f>
        <v>59.482999999999997</v>
      </c>
      <c r="H156" s="32">
        <f>IF(集計表!J21="","",集計表!J21)</f>
        <v>60.131999999999998</v>
      </c>
      <c r="I156" s="32">
        <f>IF(集計表!K21="","",集計表!K21)</f>
        <v>65.484999999999999</v>
      </c>
      <c r="J156" s="32">
        <f>IF(集計表!L21="","",集計表!L21)</f>
        <v>38.594999999999999</v>
      </c>
      <c r="K156" s="32">
        <f>IF(集計表!M21="","",集計表!M21)</f>
        <v>37.481000000000002</v>
      </c>
      <c r="L156" s="32">
        <f>IF(集計表!N21="","",集計表!N21)</f>
        <v>50.825000000000003</v>
      </c>
      <c r="M156" s="32">
        <f>IF(集計表!O21="","",集計表!O21)</f>
        <v>52.823</v>
      </c>
      <c r="N156" s="32">
        <f>IF(集計表!P21="","",集計表!P21)</f>
        <v>68.974000000000004</v>
      </c>
      <c r="O156" s="32">
        <f>IF(集計表!Q21="","",集計表!Q21)</f>
        <v>51.991</v>
      </c>
      <c r="P156" s="32">
        <f>IF(集計表!R21="","",集計表!R21)</f>
        <v>51.707999999999998</v>
      </c>
      <c r="Q156" s="32">
        <f>IF(集計表!S21="","",集計表!S21)</f>
        <v>60.540999999999997</v>
      </c>
      <c r="R156" s="32">
        <f>IF(集計表!T21="","",集計表!T21)</f>
        <v>53.165999999999997</v>
      </c>
      <c r="S156" s="32">
        <f>IF(集計表!U21="","",集計表!U21)</f>
        <v>43.801000000000002</v>
      </c>
      <c r="T156" s="32">
        <f>IF(集計表!V21="","",集計表!V21)</f>
        <v>30.773</v>
      </c>
      <c r="U156" s="32">
        <f>IF(集計表!W21="","",集計表!W21)</f>
        <v>26.771999999999998</v>
      </c>
      <c r="V156" s="32">
        <f>IF(集計表!X21="","",集計表!X21)</f>
        <v>24.652000000000001</v>
      </c>
      <c r="W156" s="32">
        <f>IF(集計表!Y21="","",集計表!Y21)</f>
        <v>26.21</v>
      </c>
      <c r="X156" s="32">
        <f>IF(集計表!Z21="","",集計表!Z21)</f>
        <v>39.715000000000003</v>
      </c>
      <c r="Y156" s="32">
        <f>IF(集計表!AA21="","",集計表!AA21)</f>
        <v>26.248000000000001</v>
      </c>
      <c r="Z156" s="32">
        <f>IF(集計表!AB21="","",集計表!AB21)</f>
        <v>29.308</v>
      </c>
      <c r="AA156" s="32">
        <f>IF(集計表!AC21="","",集計表!AC21)</f>
        <v>37.173999999999999</v>
      </c>
      <c r="AB156" s="32">
        <f>IF(集計表!AD21="","",集計表!AD21)</f>
        <v>42.716000000000001</v>
      </c>
      <c r="AC156" s="32" t="str">
        <f>IF(集計表!AE21="","",集計表!AE21)</f>
        <v/>
      </c>
      <c r="AD156" s="32" t="str">
        <f>IF(集計表!AF21="","",集計表!AF21)</f>
        <v/>
      </c>
      <c r="AE156" s="32" t="str">
        <f>IF(集計表!AG21="","",集計表!AG21)</f>
        <v/>
      </c>
      <c r="AF156" s="32" t="str">
        <f>IF(集計表!AH21="","",集計表!AH21)</f>
        <v/>
      </c>
      <c r="AG156" s="32" t="str">
        <f>IF(集計表!AI21="","",集計表!AI21)</f>
        <v/>
      </c>
      <c r="AH156" s="32" t="str">
        <f>IF(集計表!AJ21="","",集計表!AJ21)</f>
        <v/>
      </c>
      <c r="AI156" s="32" t="str">
        <f>IF(集計表!AK21="","",集計表!AK21)</f>
        <v/>
      </c>
      <c r="AJ156" s="32" t="str">
        <f>IF(集計表!AL21="","",集計表!AL21)</f>
        <v/>
      </c>
      <c r="AK156" s="32" t="str">
        <f>IF(集計表!AM21="","",集計表!AM21)</f>
        <v/>
      </c>
      <c r="AL156" s="32" t="str">
        <f>IF(集計表!AN21="","",集計表!AN21)</f>
        <v/>
      </c>
      <c r="AM156" s="32" t="str">
        <f>IF(集計表!AO21="","",集計表!AO21)</f>
        <v/>
      </c>
      <c r="AN156" s="32" t="str">
        <f>IF(集計表!AP21="","",集計表!AP21)</f>
        <v/>
      </c>
      <c r="AO156" s="32" t="str">
        <f>IF(集計表!AQ21="","",集計表!AQ21)</f>
        <v/>
      </c>
      <c r="AP156" s="32" t="str">
        <f>IF(集計表!AR21="","",集計表!AR21)</f>
        <v/>
      </c>
      <c r="AQ156" s="32" t="str">
        <f>IF(集計表!AS21="","",集計表!AS21)</f>
        <v/>
      </c>
      <c r="AR156" s="32" t="str">
        <f>IF(集計表!AT21="","",集計表!AT21)</f>
        <v/>
      </c>
    </row>
    <row r="157" spans="1:45" s="42" customFormat="1" x14ac:dyDescent="0.2">
      <c r="A157" s="49" t="s">
        <v>1</v>
      </c>
      <c r="B157" s="32">
        <f>IF(集計表!D22=0,NA(),集計表!D22)</f>
        <v>214</v>
      </c>
      <c r="C157" s="32">
        <f>IF(集計表!E22=0,NA(),集計表!E22)</f>
        <v>227</v>
      </c>
      <c r="D157" s="32">
        <f>IF(集計表!F22=0,NA(),集計表!F22)</f>
        <v>233</v>
      </c>
      <c r="E157" s="32">
        <f>IF(集計表!G22=0,NA(),集計表!G22)</f>
        <v>247</v>
      </c>
      <c r="F157" s="32">
        <f>IF(集計表!H22=0,NA(),集計表!H22)</f>
        <v>255</v>
      </c>
      <c r="G157" s="32">
        <f>IF(集計表!I22=0,NA(),集計表!I22)</f>
        <v>277</v>
      </c>
      <c r="H157" s="32">
        <f>IF(集計表!J22=0,NA(),集計表!J22)</f>
        <v>277</v>
      </c>
      <c r="I157" s="32">
        <f>IF(集計表!K22=0,NA(),集計表!K22)</f>
        <v>294</v>
      </c>
      <c r="J157" s="32">
        <f>IF(集計表!L22=0,NA(),集計表!L22)</f>
        <v>292</v>
      </c>
      <c r="K157" s="32">
        <f>IF(集計表!M22=0,NA(),集計表!M22)</f>
        <v>343</v>
      </c>
      <c r="L157" s="32">
        <f>IF(集計表!N22=0,NA(),集計表!N22)</f>
        <v>354</v>
      </c>
      <c r="M157" s="32">
        <f>IF(集計表!O22=0,NA(),集計表!O22)</f>
        <v>360</v>
      </c>
      <c r="N157" s="32">
        <f>IF(集計表!P22=0,NA(),集計表!P22)</f>
        <v>347</v>
      </c>
      <c r="O157" s="32">
        <f>IF(集計表!Q22=0,NA(),集計表!Q22)</f>
        <v>336</v>
      </c>
      <c r="P157" s="32">
        <f>IF(集計表!R22=0,NA(),集計表!R22)</f>
        <v>327</v>
      </c>
      <c r="Q157" s="32">
        <f>IF(集計表!S22=0,NA(),集計表!S22)</f>
        <v>314</v>
      </c>
      <c r="R157" s="32">
        <f>IF(集計表!T22=0,NA(),集計表!T22)</f>
        <v>314</v>
      </c>
      <c r="S157" s="32">
        <f>IF(集計表!U22=0,NA(),集計表!U22)</f>
        <v>339</v>
      </c>
      <c r="T157" s="32">
        <f>IF(集計表!V22=0,NA(),集計表!V22)</f>
        <v>347</v>
      </c>
      <c r="U157" s="32">
        <f>IF(集計表!W22=0,NA(),集計表!W22)</f>
        <v>373</v>
      </c>
      <c r="V157" s="32">
        <f>IF(集計表!X22=0,NA(),集計表!X22)</f>
        <v>394</v>
      </c>
      <c r="W157" s="32">
        <f>IF(集計表!Y22=0,NA(),集計表!Y22)</f>
        <v>399</v>
      </c>
      <c r="X157" s="32">
        <f>IF(集計表!Z22=0,NA(),集計表!Z22)</f>
        <v>421</v>
      </c>
      <c r="Y157" s="32">
        <f>IF(集計表!AA22=0,NA(),集計表!AA22)</f>
        <v>428</v>
      </c>
      <c r="Z157" s="32">
        <f>IF(集計表!AB22=0,NA(),集計表!AB22)</f>
        <v>464</v>
      </c>
      <c r="AA157" s="32">
        <f>IF(集計表!AC22=0,NA(),集計表!AC22)</f>
        <v>489</v>
      </c>
      <c r="AB157" s="32">
        <f>IF(集計表!AD22=0,NA(),集計表!AD22)</f>
        <v>499</v>
      </c>
      <c r="AC157" s="32" t="e">
        <f>IF(集計表!AE22=0,NA(),集計表!AE22)</f>
        <v>#N/A</v>
      </c>
      <c r="AD157" s="32" t="e">
        <f>IF(集計表!AF22=0,NA(),集計表!AF22)</f>
        <v>#N/A</v>
      </c>
      <c r="AE157" s="32" t="e">
        <f>IF(集計表!AG22=0,NA(),集計表!AG22)</f>
        <v>#N/A</v>
      </c>
      <c r="AF157" s="32" t="e">
        <f>IF(集計表!AH22=0,NA(),集計表!AH22)</f>
        <v>#N/A</v>
      </c>
      <c r="AG157" s="32" t="e">
        <f>IF(集計表!AI22=0,NA(),集計表!AI22)</f>
        <v>#N/A</v>
      </c>
      <c r="AH157" s="32" t="e">
        <f>IF(集計表!AJ22=0,NA(),集計表!AJ22)</f>
        <v>#N/A</v>
      </c>
      <c r="AI157" s="32" t="e">
        <f>IF(集計表!AK22=0,NA(),集計表!AK22)</f>
        <v>#N/A</v>
      </c>
      <c r="AJ157" s="32" t="e">
        <f>IF(集計表!AL22=0,NA(),集計表!AL22)</f>
        <v>#N/A</v>
      </c>
      <c r="AK157" s="32" t="e">
        <f>IF(集計表!AM22=0,NA(),集計表!AM22)</f>
        <v>#N/A</v>
      </c>
      <c r="AL157" s="32" t="e">
        <f>IF(集計表!AN22=0,NA(),集計表!AN22)</f>
        <v>#N/A</v>
      </c>
      <c r="AM157" s="32" t="e">
        <f>IF(集計表!AO22=0,NA(),集計表!AO22)</f>
        <v>#N/A</v>
      </c>
      <c r="AN157" s="32" t="e">
        <f>IF(集計表!AP22=0,NA(),集計表!AP22)</f>
        <v>#N/A</v>
      </c>
      <c r="AO157" s="32" t="e">
        <f>IF(集計表!AQ22=0,NA(),集計表!AQ22)</f>
        <v>#N/A</v>
      </c>
      <c r="AP157" s="32" t="e">
        <f>IF(集計表!AR22=0,NA(),集計表!AR22)</f>
        <v>#N/A</v>
      </c>
      <c r="AQ157" s="32" t="e">
        <f>IF(集計表!AS22=0,NA(),集計表!AS22)</f>
        <v>#N/A</v>
      </c>
      <c r="AR157" s="32" t="e">
        <f>IF(集計表!AT22=0,NA(),集計表!AT22)</f>
        <v>#N/A</v>
      </c>
    </row>
    <row r="158" spans="1:45" s="42" customFormat="1" x14ac:dyDescent="0.2">
      <c r="A158" s="49" t="s">
        <v>2</v>
      </c>
      <c r="B158" s="32">
        <f>集計表!D23</f>
        <v>214</v>
      </c>
      <c r="C158" s="32">
        <f>集計表!E23</f>
        <v>214</v>
      </c>
      <c r="D158" s="32">
        <f>集計表!F23</f>
        <v>214</v>
      </c>
      <c r="E158" s="32">
        <f>集計表!G23</f>
        <v>214</v>
      </c>
      <c r="F158" s="32">
        <f>集計表!H23</f>
        <v>214</v>
      </c>
      <c r="G158" s="32">
        <f>集計表!I23</f>
        <v>214</v>
      </c>
      <c r="H158" s="32">
        <f>集計表!J23</f>
        <v>214</v>
      </c>
      <c r="I158" s="32">
        <f>集計表!K23</f>
        <v>198</v>
      </c>
      <c r="J158" s="32">
        <f>集計表!L23</f>
        <v>198</v>
      </c>
      <c r="K158" s="32">
        <f>集計表!M23</f>
        <v>198</v>
      </c>
      <c r="L158" s="32">
        <f>集計表!N23</f>
        <v>198</v>
      </c>
      <c r="M158" s="32">
        <f>集計表!O23</f>
        <v>198</v>
      </c>
      <c r="N158" s="32">
        <f>集計表!P23</f>
        <v>198</v>
      </c>
      <c r="O158" s="32">
        <f>集計表!Q23</f>
        <v>198</v>
      </c>
      <c r="P158" s="32">
        <f>集計表!R23</f>
        <v>198</v>
      </c>
      <c r="Q158" s="32">
        <f>集計表!S23</f>
        <v>201</v>
      </c>
      <c r="R158" s="32">
        <f>集計表!T23</f>
        <v>201</v>
      </c>
      <c r="S158" s="32">
        <f>集計表!U23</f>
        <v>201</v>
      </c>
      <c r="T158" s="32">
        <f>集計表!V23</f>
        <v>201</v>
      </c>
      <c r="U158" s="32">
        <f>集計表!W23</f>
        <v>201</v>
      </c>
      <c r="V158" s="32">
        <f>集計表!X23</f>
        <v>201</v>
      </c>
      <c r="W158" s="32">
        <f>集計表!Y23</f>
        <v>201</v>
      </c>
      <c r="X158" s="32">
        <f>集計表!Z23</f>
        <v>252</v>
      </c>
      <c r="Y158" s="32">
        <f>集計表!AA23</f>
        <v>252</v>
      </c>
      <c r="Z158" s="32">
        <f>集計表!AB23</f>
        <v>252</v>
      </c>
      <c r="AA158" s="32">
        <f>集計表!AC23</f>
        <v>252</v>
      </c>
      <c r="AB158" s="32">
        <f>集計表!AD23</f>
        <v>252</v>
      </c>
      <c r="AC158" s="32">
        <f>集計表!AE23</f>
        <v>252</v>
      </c>
      <c r="AD158" s="32">
        <f>集計表!AF23</f>
        <v>252</v>
      </c>
      <c r="AE158" s="32">
        <f>集計表!AG23</f>
        <v>308</v>
      </c>
      <c r="AF158" s="32">
        <f>集計表!AH23</f>
        <v>308</v>
      </c>
      <c r="AG158" s="32">
        <f>集計表!AI23</f>
        <v>308</v>
      </c>
      <c r="AH158" s="32">
        <f>集計表!AJ23</f>
        <v>308</v>
      </c>
      <c r="AI158" s="32">
        <f>集計表!AK23</f>
        <v>308</v>
      </c>
      <c r="AJ158" s="32">
        <f>集計表!AL23</f>
        <v>308</v>
      </c>
      <c r="AK158" s="32">
        <f>集計表!AM23</f>
        <v>303</v>
      </c>
      <c r="AL158" s="32">
        <f>集計表!AN23</f>
        <v>303</v>
      </c>
      <c r="AM158" s="32">
        <f>集計表!AO23</f>
        <v>303</v>
      </c>
      <c r="AN158" s="32">
        <f>集計表!AP23</f>
        <v>303</v>
      </c>
      <c r="AO158" s="32">
        <f>集計表!AQ23</f>
        <v>303</v>
      </c>
      <c r="AP158" s="32">
        <f>集計表!AR23</f>
        <v>303</v>
      </c>
      <c r="AQ158" s="32">
        <f>集計表!AS23</f>
        <v>303</v>
      </c>
      <c r="AR158" s="32">
        <f>集計表!AT23</f>
        <v>303</v>
      </c>
    </row>
    <row r="159" spans="1:45" s="42" customFormat="1" ht="13.5" customHeight="1" x14ac:dyDescent="0.2">
      <c r="A159" s="50" t="s">
        <v>23</v>
      </c>
      <c r="B159" s="51">
        <f>IFERROR(B157/B158, "")</f>
        <v>1</v>
      </c>
      <c r="C159" s="51">
        <f t="shared" ref="C159" si="82">IFERROR(C157/C158, "")</f>
        <v>1.0607476635514019</v>
      </c>
      <c r="D159" s="51">
        <f t="shared" ref="D159" si="83">IFERROR(D157/D158, "")</f>
        <v>1.0887850467289719</v>
      </c>
      <c r="E159" s="51">
        <f t="shared" ref="E159" si="84">IFERROR(E157/E158, "")</f>
        <v>1.1542056074766356</v>
      </c>
      <c r="F159" s="51">
        <f t="shared" ref="F159" si="85">IFERROR(F157/F158, "")</f>
        <v>1.191588785046729</v>
      </c>
      <c r="G159" s="51">
        <f t="shared" ref="G159" si="86">IFERROR(G157/G158, "")</f>
        <v>1.294392523364486</v>
      </c>
      <c r="H159" s="51">
        <f t="shared" ref="H159" si="87">IFERROR(H157/H158, "")</f>
        <v>1.294392523364486</v>
      </c>
      <c r="I159" s="51">
        <f t="shared" ref="I159" si="88">IFERROR(I157/I158, "")</f>
        <v>1.4848484848484849</v>
      </c>
      <c r="J159" s="51">
        <f t="shared" ref="J159" si="89">IFERROR(J157/J158, "")</f>
        <v>1.4747474747474747</v>
      </c>
      <c r="K159" s="51">
        <f t="shared" ref="K159" si="90">IFERROR(K157/K158, "")</f>
        <v>1.7323232323232323</v>
      </c>
      <c r="L159" s="51">
        <f t="shared" ref="L159" si="91">IFERROR(L157/L158, "")</f>
        <v>1.7878787878787878</v>
      </c>
      <c r="M159" s="51">
        <f t="shared" ref="M159" si="92">IFERROR(M157/M158, "")</f>
        <v>1.8181818181818181</v>
      </c>
      <c r="N159" s="51">
        <f t="shared" ref="N159" si="93">IFERROR(N157/N158, "")</f>
        <v>1.7525252525252526</v>
      </c>
      <c r="O159" s="51">
        <f t="shared" ref="O159" si="94">IFERROR(O157/O158, "")</f>
        <v>1.696969696969697</v>
      </c>
      <c r="P159" s="51">
        <f t="shared" ref="P159" si="95">IFERROR(P157/P158, "")</f>
        <v>1.6515151515151516</v>
      </c>
      <c r="Q159" s="51">
        <f t="shared" ref="Q159" si="96">IFERROR(Q157/Q158, "")</f>
        <v>1.5621890547263682</v>
      </c>
      <c r="R159" s="51">
        <f t="shared" ref="R159" si="97">IFERROR(R157/R158, "")</f>
        <v>1.5621890547263682</v>
      </c>
      <c r="S159" s="51">
        <f t="shared" ref="S159" si="98">IFERROR(S157/S158, "")</f>
        <v>1.6865671641791045</v>
      </c>
      <c r="T159" s="51">
        <f t="shared" ref="T159" si="99">IFERROR(T157/T158, "")</f>
        <v>1.7263681592039801</v>
      </c>
      <c r="U159" s="51">
        <f t="shared" ref="U159" si="100">IFERROR(U157/U158, "")</f>
        <v>1.855721393034826</v>
      </c>
      <c r="V159" s="51">
        <f t="shared" ref="V159" si="101">IFERROR(V157/V158, "")</f>
        <v>1.9601990049751243</v>
      </c>
      <c r="W159" s="51">
        <f t="shared" ref="W159" si="102">IFERROR(W157/W158, "")</f>
        <v>1.9850746268656716</v>
      </c>
      <c r="X159" s="51">
        <f t="shared" ref="X159" si="103">IFERROR(X157/X158, "")</f>
        <v>1.6706349206349207</v>
      </c>
      <c r="Y159" s="51">
        <f t="shared" ref="Y159" si="104">IFERROR(Y157/Y158, "")</f>
        <v>1.6984126984126984</v>
      </c>
      <c r="Z159" s="51">
        <f t="shared" ref="Z159" si="105">IFERROR(Z157/Z158, "")</f>
        <v>1.8412698412698412</v>
      </c>
      <c r="AA159" s="51">
        <f t="shared" ref="AA159" si="106">IFERROR(AA157/AA158, "")</f>
        <v>1.9404761904761905</v>
      </c>
      <c r="AB159" s="51">
        <f t="shared" ref="AB159" si="107">IFERROR(AB157/AB158, "")</f>
        <v>1.9801587301587302</v>
      </c>
      <c r="AC159" s="51" t="str">
        <f t="shared" ref="AC159" si="108">IFERROR(AC157/AC158, "")</f>
        <v/>
      </c>
      <c r="AD159" s="51" t="str">
        <f t="shared" ref="AD159" si="109">IFERROR(AD157/AD158, "")</f>
        <v/>
      </c>
      <c r="AE159" s="51" t="str">
        <f t="shared" ref="AE159" si="110">IFERROR(AE157/AE158, "")</f>
        <v/>
      </c>
      <c r="AF159" s="51" t="str">
        <f t="shared" ref="AF159" si="111">IFERROR(AF157/AF158, "")</f>
        <v/>
      </c>
      <c r="AG159" s="51" t="str">
        <f t="shared" ref="AG159" si="112">IFERROR(AG157/AG158, "")</f>
        <v/>
      </c>
      <c r="AH159" s="51" t="str">
        <f t="shared" ref="AH159" si="113">IFERROR(AH157/AH158, "")</f>
        <v/>
      </c>
      <c r="AI159" s="51" t="str">
        <f t="shared" ref="AI159" si="114">IFERROR(AI157/AI158, "")</f>
        <v/>
      </c>
      <c r="AJ159" s="51" t="str">
        <f t="shared" ref="AJ159" si="115">IFERROR(AJ157/AJ158, "")</f>
        <v/>
      </c>
      <c r="AK159" s="51" t="str">
        <f t="shared" ref="AK159" si="116">IFERROR(AK157/AK158, "")</f>
        <v/>
      </c>
      <c r="AL159" s="51" t="str">
        <f t="shared" ref="AL159:AN159" si="117">IFERROR(AL157/AL158, "")</f>
        <v/>
      </c>
      <c r="AM159" s="51" t="str">
        <f t="shared" ref="AM159:AO159" si="118">IFERROR(AM157/AM158, "")</f>
        <v/>
      </c>
      <c r="AN159" s="51" t="str">
        <f t="shared" si="117"/>
        <v/>
      </c>
      <c r="AO159" s="51" t="str">
        <f t="shared" si="118"/>
        <v/>
      </c>
      <c r="AP159" s="51" t="str">
        <f t="shared" ref="AP159:AQ159" si="119">IFERROR(AP157/AP158, "")</f>
        <v/>
      </c>
      <c r="AQ159" s="51" t="str">
        <f t="shared" si="119"/>
        <v/>
      </c>
      <c r="AR159" s="51" t="str">
        <f t="shared" ref="AR159" si="120">IFERROR(AR157/AR158, "")</f>
        <v/>
      </c>
    </row>
    <row r="160" spans="1:45" s="33" customFormat="1" ht="22.5" customHeight="1" x14ac:dyDescent="0.2">
      <c r="A160" s="33" t="s">
        <v>24</v>
      </c>
      <c r="B160" s="34"/>
      <c r="C160" s="34"/>
      <c r="D160" s="35"/>
      <c r="E160" s="34"/>
      <c r="F160" s="36"/>
      <c r="G160" s="34"/>
      <c r="H160" s="34"/>
      <c r="I160" s="34"/>
      <c r="J160" s="34"/>
      <c r="K160" s="37"/>
      <c r="L160" s="34"/>
      <c r="M160" s="37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Q160"/>
      <c r="AR160"/>
      <c r="AS160"/>
    </row>
    <row r="161" spans="12:12" x14ac:dyDescent="0.2">
      <c r="L161" s="43" t="s">
        <v>25</v>
      </c>
    </row>
  </sheetData>
  <phoneticPr fontId="5"/>
  <conditionalFormatting sqref="B36">
    <cfRule type="expression" dxfId="19" priority="55" stopIfTrue="1">
      <formula>ISERROR(B36)</formula>
    </cfRule>
  </conditionalFormatting>
  <conditionalFormatting sqref="B76">
    <cfRule type="expression" dxfId="18" priority="54" stopIfTrue="1">
      <formula>ISERROR(B76)</formula>
    </cfRule>
  </conditionalFormatting>
  <conditionalFormatting sqref="B116">
    <cfRule type="expression" dxfId="17" priority="53" stopIfTrue="1">
      <formula>ISERROR(B116)</formula>
    </cfRule>
  </conditionalFormatting>
  <conditionalFormatting sqref="B156">
    <cfRule type="expression" dxfId="16" priority="52" stopIfTrue="1">
      <formula>ISERROR(B156)</formula>
    </cfRule>
  </conditionalFormatting>
  <conditionalFormatting sqref="B37:AR37 B77:AR77 B117:AR117 B157:AR157">
    <cfRule type="expression" dxfId="15" priority="60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rowBreaks count="3" manualBreakCount="3">
    <brk id="40" max="46" man="1"/>
    <brk id="80" max="46" man="1"/>
    <brk id="12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S160"/>
  <sheetViews>
    <sheetView showGridLines="0" zoomScale="90" zoomScaleNormal="90" zoomScaleSheetLayoutView="80" workbookViewId="0"/>
  </sheetViews>
  <sheetFormatPr defaultRowHeight="13.2" x14ac:dyDescent="0.2"/>
  <cols>
    <col min="1" max="1" width="10.6640625" bestFit="1" customWidth="1"/>
    <col min="2" max="44" width="4.109375" style="1" customWidth="1"/>
    <col min="45" max="46" width="3.77734375" customWidth="1"/>
  </cols>
  <sheetData>
    <row r="1" spans="1:14" ht="15.6" x14ac:dyDescent="0.2">
      <c r="A1" s="19" t="s">
        <v>13</v>
      </c>
      <c r="B1" s="10"/>
      <c r="C1" s="10"/>
      <c r="D1" s="10"/>
      <c r="E1" s="10"/>
      <c r="F1" s="10"/>
      <c r="G1" s="10"/>
      <c r="H1" s="10"/>
      <c r="I1" s="10"/>
      <c r="K1" s="10" t="str">
        <f>TEXT(集計表!$C$1,"(e.m/d～)")</f>
        <v>(8.6/1～)</v>
      </c>
      <c r="L1" s="10"/>
      <c r="M1" s="10"/>
      <c r="N1" s="10"/>
    </row>
    <row r="2" spans="1:14" ht="15.6" x14ac:dyDescent="0.2">
      <c r="A2" s="19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3" spans="1:45" ht="13.2" customHeight="1" x14ac:dyDescent="0.2">
      <c r="AJ33" s="2"/>
      <c r="AK33" s="2"/>
      <c r="AL33" s="2"/>
      <c r="AM33" s="2"/>
      <c r="AN33" s="2"/>
      <c r="AO33" s="2"/>
      <c r="AP33" s="2"/>
      <c r="AQ33" s="2"/>
      <c r="AR33" s="2"/>
    </row>
    <row r="34" spans="1:45" s="39" customFormat="1" ht="16.2" customHeight="1" x14ac:dyDescent="0.2">
      <c r="B34" s="38"/>
      <c r="C34" s="38"/>
      <c r="D34" s="40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40"/>
      <c r="S34" s="38"/>
      <c r="T34" s="38"/>
      <c r="U34" s="38"/>
      <c r="V34" s="38"/>
      <c r="W34" s="40"/>
      <c r="X34" s="38"/>
      <c r="Y34" s="38"/>
      <c r="Z34" s="38"/>
      <c r="AA34" s="40"/>
      <c r="AB34" s="38"/>
      <c r="AC34" s="38"/>
      <c r="AD34" s="38"/>
      <c r="AE34" s="38"/>
      <c r="AF34" s="38"/>
      <c r="AG34" s="38"/>
      <c r="AH34" s="38"/>
      <c r="AI34" s="38"/>
      <c r="AJ34" s="44"/>
      <c r="AL34" s="38"/>
      <c r="AM34" s="38"/>
      <c r="AN34" s="44"/>
      <c r="AO34" s="38"/>
      <c r="AP34" s="38"/>
      <c r="AQ34" s="38"/>
      <c r="AR34" s="38"/>
    </row>
    <row r="35" spans="1:45" x14ac:dyDescent="0.2">
      <c r="A35" s="45">
        <f>集計表!C27</f>
        <v>46174</v>
      </c>
      <c r="B35" s="52" t="str">
        <f>集計表!D27</f>
        <v>6/1</v>
      </c>
      <c r="C35" s="53" t="str">
        <f>集計表!E27</f>
        <v>2</v>
      </c>
      <c r="D35" s="53" t="str">
        <f>集計表!F27</f>
        <v>4</v>
      </c>
      <c r="E35" s="53" t="str">
        <f>集計表!G27</f>
        <v>5</v>
      </c>
      <c r="F35" s="52" t="str">
        <f>集計表!H27</f>
        <v>6</v>
      </c>
      <c r="G35" s="52" t="str">
        <f>集計表!I27</f>
        <v>8</v>
      </c>
      <c r="H35" s="53" t="str">
        <f>集計表!J27</f>
        <v>9</v>
      </c>
      <c r="I35" s="52" t="str">
        <f>集計表!K27</f>
        <v>11</v>
      </c>
      <c r="J35" s="52" t="str">
        <f>集計表!L27</f>
        <v>12</v>
      </c>
      <c r="K35" s="52" t="str">
        <f>集計表!M27</f>
        <v>13</v>
      </c>
      <c r="L35" s="52" t="str">
        <f>集計表!N27</f>
        <v>15</v>
      </c>
      <c r="M35" s="52" t="str">
        <f>集計表!O27</f>
        <v>16</v>
      </c>
      <c r="N35" s="52" t="str">
        <f>集計表!P27</f>
        <v>18</v>
      </c>
      <c r="O35" s="52" t="str">
        <f>集計表!Q27</f>
        <v>19</v>
      </c>
      <c r="P35" s="52" t="str">
        <f>集計表!R27</f>
        <v>20</v>
      </c>
      <c r="Q35" s="54" t="str">
        <f>集計表!S27</f>
        <v>22</v>
      </c>
      <c r="R35" s="54" t="str">
        <f>集計表!T27</f>
        <v>23</v>
      </c>
      <c r="S35" s="55" t="str">
        <f>集計表!U27</f>
        <v>25</v>
      </c>
      <c r="T35" s="55" t="str">
        <f>集計表!V27</f>
        <v>26</v>
      </c>
      <c r="U35" s="54" t="str">
        <f>集計表!W27</f>
        <v>27</v>
      </c>
      <c r="V35" s="55" t="str">
        <f>集計表!X27</f>
        <v>29</v>
      </c>
      <c r="W35" s="55" t="str">
        <f>集計表!Y27</f>
        <v>30</v>
      </c>
      <c r="X35" s="56" t="str">
        <f>集計表!Z27</f>
        <v>7/2</v>
      </c>
      <c r="Y35" s="56" t="str">
        <f>集計表!AA27</f>
        <v>3</v>
      </c>
      <c r="Z35" s="56" t="str">
        <f>集計表!AB27</f>
        <v>4</v>
      </c>
      <c r="AA35" s="56" t="str">
        <f>集計表!AC27</f>
        <v>6</v>
      </c>
      <c r="AB35" s="57" t="str">
        <f>集計表!AD27</f>
        <v>7</v>
      </c>
      <c r="AC35" s="57" t="str">
        <f>集計表!AE27</f>
        <v>9</v>
      </c>
      <c r="AD35" s="56" t="str">
        <f>集計表!AF27</f>
        <v>10</v>
      </c>
      <c r="AE35" s="57" t="str">
        <f>集計表!AG27</f>
        <v>11</v>
      </c>
      <c r="AF35" s="57" t="str">
        <f>集計表!AH27</f>
        <v>13</v>
      </c>
      <c r="AG35" s="57" t="str">
        <f>集計表!AI27</f>
        <v>14</v>
      </c>
      <c r="AH35" s="57" t="str">
        <f>集計表!AJ27</f>
        <v>16</v>
      </c>
      <c r="AI35" s="57" t="str">
        <f>集計表!AK27</f>
        <v>17</v>
      </c>
      <c r="AJ35" s="57" t="str">
        <f>集計表!AL27</f>
        <v>18</v>
      </c>
      <c r="AK35" s="57" t="str">
        <f>集計表!AM27</f>
        <v>21</v>
      </c>
      <c r="AL35" s="56" t="str">
        <f>集計表!AN27</f>
        <v>23</v>
      </c>
      <c r="AM35" s="56" t="str">
        <f>集計表!AO27</f>
        <v>24</v>
      </c>
      <c r="AN35" s="56" t="str">
        <f>集計表!AP27</f>
        <v>25</v>
      </c>
      <c r="AO35" s="56" t="str">
        <f>集計表!AQ27</f>
        <v>27</v>
      </c>
      <c r="AP35" s="56" t="str">
        <f>集計表!AR27</f>
        <v>28</v>
      </c>
      <c r="AQ35" s="56" t="str">
        <f>集計表!AS27</f>
        <v>30</v>
      </c>
      <c r="AR35" s="56" t="str">
        <f>集計表!AT27</f>
        <v>31</v>
      </c>
    </row>
    <row r="36" spans="1:45" s="42" customFormat="1" x14ac:dyDescent="0.2">
      <c r="A36" s="49" t="s">
        <v>0</v>
      </c>
      <c r="B36" s="41">
        <f>IF(集計表!D29="","",集計表!D29)</f>
        <v>309.851</v>
      </c>
      <c r="C36" s="41">
        <f>IF(集計表!E29="","",集計表!E29)</f>
        <v>201.732</v>
      </c>
      <c r="D36" s="41">
        <f>IF(集計表!F29="","",集計表!F29)</f>
        <v>371.89699999999999</v>
      </c>
      <c r="E36" s="41">
        <f>IF(集計表!G29="","",集計表!G29)</f>
        <v>199.208</v>
      </c>
      <c r="F36" s="41">
        <f>IF(集計表!H29="","",集計表!H29)</f>
        <v>286.08199999999999</v>
      </c>
      <c r="G36" s="41">
        <f>IF(集計表!I29="","",集計表!I29)</f>
        <v>357.15800000000002</v>
      </c>
      <c r="H36" s="41">
        <f>IF(集計表!J29="","",集計表!J29)</f>
        <v>229.15</v>
      </c>
      <c r="I36" s="41">
        <f>IF(集計表!K29="","",集計表!K29)</f>
        <v>347.238</v>
      </c>
      <c r="J36" s="41">
        <f>IF(集計表!L29="","",集計表!L29)</f>
        <v>172.32499999999999</v>
      </c>
      <c r="K36" s="41">
        <f>IF(集計表!M29="","",集計表!M29)</f>
        <v>196.95</v>
      </c>
      <c r="L36" s="41">
        <f>IF(集計表!N29="","",集計表!N29)</f>
        <v>254.99799999999999</v>
      </c>
      <c r="M36" s="41">
        <f>IF(集計表!O29="","",集計表!O29)</f>
        <v>183.99700000000001</v>
      </c>
      <c r="N36" s="41">
        <f>IF(集計表!P29="","",集計表!P29)</f>
        <v>307.01900000000001</v>
      </c>
      <c r="O36" s="41">
        <f>IF(集計表!Q29="","",集計表!Q29)</f>
        <v>167.13800000000001</v>
      </c>
      <c r="P36" s="41">
        <f>IF(集計表!R29="","",集計表!R29)</f>
        <v>212.113</v>
      </c>
      <c r="Q36" s="41">
        <f>IF(集計表!S29="","",集計表!S29)</f>
        <v>275.61700000000002</v>
      </c>
      <c r="R36" s="41">
        <f>IF(集計表!T29="","",集計表!T29)</f>
        <v>200.64400000000001</v>
      </c>
      <c r="S36" s="41">
        <f>IF(集計表!U29="","",集計表!U29)</f>
        <v>370.71499999999997</v>
      </c>
      <c r="T36" s="41">
        <f>IF(集計表!V29="","",集計表!V29)</f>
        <v>191.357</v>
      </c>
      <c r="U36" s="41">
        <f>IF(集計表!W29="","",集計表!W29)</f>
        <v>216.97499999999999</v>
      </c>
      <c r="V36" s="41">
        <f>IF(集計表!X29="","",集計表!X29)</f>
        <v>267.43400000000003</v>
      </c>
      <c r="W36" s="41">
        <f>IF(集計表!Y29="","",集計表!Y29)</f>
        <v>185.68799999999999</v>
      </c>
      <c r="X36" s="41">
        <f>IF(集計表!Z29="","",集計表!Z29)</f>
        <v>292.09500000000003</v>
      </c>
      <c r="Y36" s="41">
        <f>IF(集計表!AA29="","",集計表!AA29)</f>
        <v>158.34700000000001</v>
      </c>
      <c r="Z36" s="41">
        <f>IF(集計表!AB29="","",集計表!AB29)</f>
        <v>172.56200000000001</v>
      </c>
      <c r="AA36" s="41">
        <f>IF(集計表!AC29="","",集計表!AC29)</f>
        <v>255.82400000000001</v>
      </c>
      <c r="AB36" s="41">
        <f>IF(集計表!AD29="","",集計表!AD29)</f>
        <v>188.036</v>
      </c>
      <c r="AC36" s="41" t="str">
        <f>IF(集計表!AE29="","",集計表!AE29)</f>
        <v/>
      </c>
      <c r="AD36" s="41" t="str">
        <f>IF(集計表!AF29="","",集計表!AF29)</f>
        <v/>
      </c>
      <c r="AE36" s="41" t="str">
        <f>IF(集計表!AG29="","",集計表!AG29)</f>
        <v/>
      </c>
      <c r="AF36" s="41" t="str">
        <f>IF(集計表!AH29="","",集計表!AH29)</f>
        <v/>
      </c>
      <c r="AG36" s="41" t="str">
        <f>IF(集計表!AI29="","",集計表!AI29)</f>
        <v/>
      </c>
      <c r="AH36" s="41" t="str">
        <f>IF(集計表!AJ29="","",集計表!AJ29)</f>
        <v/>
      </c>
      <c r="AI36" s="41" t="str">
        <f>IF(集計表!AK29="","",集計表!AK29)</f>
        <v/>
      </c>
      <c r="AJ36" s="41" t="str">
        <f>IF(集計表!AL29="","",集計表!AL29)</f>
        <v/>
      </c>
      <c r="AK36" s="41" t="str">
        <f>IF(集計表!AM29="","",集計表!AM29)</f>
        <v/>
      </c>
      <c r="AL36" s="41" t="str">
        <f>IF(集計表!AN29="","",集計表!AN29)</f>
        <v/>
      </c>
      <c r="AM36" s="41" t="str">
        <f>IF(集計表!AO29="","",集計表!AO29)</f>
        <v/>
      </c>
      <c r="AN36" s="41" t="str">
        <f>IF(集計表!AP29="","",集計表!AP29)</f>
        <v/>
      </c>
      <c r="AO36" s="41" t="str">
        <f>IF(集計表!AQ29="","",集計表!AQ29)</f>
        <v/>
      </c>
      <c r="AP36" s="41" t="str">
        <f>IF(集計表!AR29="","",集計表!AR29)</f>
        <v/>
      </c>
      <c r="AQ36" s="41" t="str">
        <f>IF(集計表!AS29="","",集計表!AS29)</f>
        <v/>
      </c>
      <c r="AR36" s="41" t="str">
        <f>IF(集計表!AT29="","",集計表!AT29)</f>
        <v/>
      </c>
    </row>
    <row r="37" spans="1:45" s="42" customFormat="1" x14ac:dyDescent="0.2">
      <c r="A37" s="49" t="s">
        <v>1</v>
      </c>
      <c r="B37" s="41">
        <f>IF(集計表!D30=0,NA(),集計表!D30)</f>
        <v>390</v>
      </c>
      <c r="C37" s="41">
        <f>IF(集計表!E30=0,NA(),集計表!E30)</f>
        <v>404</v>
      </c>
      <c r="D37" s="41">
        <f>IF(集計表!F30=0,NA(),集計表!F30)</f>
        <v>402</v>
      </c>
      <c r="E37" s="41">
        <f>IF(集計表!G30=0,NA(),集計表!G30)</f>
        <v>402</v>
      </c>
      <c r="F37" s="41">
        <f>IF(集計表!H30=0,NA(),集計表!H30)</f>
        <v>417</v>
      </c>
      <c r="G37" s="41">
        <f>IF(集計表!I30=0,NA(),集計表!I30)</f>
        <v>398</v>
      </c>
      <c r="H37" s="41">
        <f>IF(集計表!J30=0,NA(),集計表!J30)</f>
        <v>403</v>
      </c>
      <c r="I37" s="41">
        <f>IF(集計表!K30=0,NA(),集計表!K30)</f>
        <v>406</v>
      </c>
      <c r="J37" s="41">
        <f>IF(集計表!L30=0,NA(),集計表!L30)</f>
        <v>409</v>
      </c>
      <c r="K37" s="41">
        <f>IF(集計表!M30=0,NA(),集計表!M30)</f>
        <v>427</v>
      </c>
      <c r="L37" s="41">
        <f>IF(集計表!N30=0,NA(),集計表!N30)</f>
        <v>412</v>
      </c>
      <c r="M37" s="41">
        <f>IF(集計表!O30=0,NA(),集計表!O30)</f>
        <v>418</v>
      </c>
      <c r="N37" s="41">
        <f>IF(集計表!P30=0,NA(),集計表!P30)</f>
        <v>430</v>
      </c>
      <c r="O37" s="41">
        <f>IF(集計表!Q30=0,NA(),集計表!Q30)</f>
        <v>429</v>
      </c>
      <c r="P37" s="41">
        <f>IF(集計表!R30=0,NA(),集計表!R30)</f>
        <v>448</v>
      </c>
      <c r="Q37" s="41">
        <f>IF(集計表!S30=0,NA(),集計表!S30)</f>
        <v>442</v>
      </c>
      <c r="R37" s="41">
        <f>IF(集計表!T30=0,NA(),集計表!T30)</f>
        <v>449</v>
      </c>
      <c r="S37" s="41">
        <f>IF(集計表!U30=0,NA(),集計表!U30)</f>
        <v>441</v>
      </c>
      <c r="T37" s="41">
        <f>IF(集計表!V30=0,NA(),集計表!V30)</f>
        <v>447</v>
      </c>
      <c r="U37" s="41">
        <f>IF(集計表!W30=0,NA(),集計表!W30)</f>
        <v>451</v>
      </c>
      <c r="V37" s="41">
        <f>IF(集計表!X30=0,NA(),集計表!X30)</f>
        <v>442</v>
      </c>
      <c r="W37" s="41">
        <f>IF(集計表!Y30=0,NA(),集計表!Y30)</f>
        <v>447</v>
      </c>
      <c r="X37" s="41">
        <f>IF(集計表!Z30=0,NA(),集計表!Z30)</f>
        <v>450</v>
      </c>
      <c r="Y37" s="41">
        <f>IF(集計表!AA30=0,NA(),集計表!AA30)</f>
        <v>454</v>
      </c>
      <c r="Z37" s="41">
        <f>IF(集計表!AB30=0,NA(),集計表!AB30)</f>
        <v>481</v>
      </c>
      <c r="AA37" s="41">
        <f>IF(集計表!AC30=0,NA(),集計表!AC30)</f>
        <v>460</v>
      </c>
      <c r="AB37" s="41">
        <f>IF(集計表!AD30=0,NA(),集計表!AD30)</f>
        <v>486</v>
      </c>
      <c r="AC37" s="41" t="e">
        <f>IF(集計表!AE30=0,NA(),集計表!AE30)</f>
        <v>#N/A</v>
      </c>
      <c r="AD37" s="41" t="e">
        <f>IF(集計表!AF30=0,NA(),集計表!AF30)</f>
        <v>#N/A</v>
      </c>
      <c r="AE37" s="41" t="e">
        <f>IF(集計表!AG30=0,NA(),集計表!AG30)</f>
        <v>#N/A</v>
      </c>
      <c r="AF37" s="41" t="e">
        <f>IF(集計表!AH30=0,NA(),集計表!AH30)</f>
        <v>#N/A</v>
      </c>
      <c r="AG37" s="41" t="e">
        <f>IF(集計表!AI30=0,NA(),集計表!AI30)</f>
        <v>#N/A</v>
      </c>
      <c r="AH37" s="41" t="e">
        <f>IF(集計表!AJ30=0,NA(),集計表!AJ30)</f>
        <v>#N/A</v>
      </c>
      <c r="AI37" s="41" t="e">
        <f>IF(集計表!AK30=0,NA(),集計表!AK30)</f>
        <v>#N/A</v>
      </c>
      <c r="AJ37" s="41" t="e">
        <f>IF(集計表!AL30=0,NA(),集計表!AL30)</f>
        <v>#N/A</v>
      </c>
      <c r="AK37" s="41" t="e">
        <f>IF(集計表!AM30=0,NA(),集計表!AM30)</f>
        <v>#N/A</v>
      </c>
      <c r="AL37" s="41" t="e">
        <f>IF(集計表!AN30=0,NA(),集計表!AN30)</f>
        <v>#N/A</v>
      </c>
      <c r="AM37" s="41" t="e">
        <f>IF(集計表!AO30=0,NA(),集計表!AO30)</f>
        <v>#N/A</v>
      </c>
      <c r="AN37" s="41" t="e">
        <f>IF(集計表!AP30=0,NA(),集計表!AP30)</f>
        <v>#N/A</v>
      </c>
      <c r="AO37" s="41" t="e">
        <f>IF(集計表!AQ30=0,NA(),集計表!AQ30)</f>
        <v>#N/A</v>
      </c>
      <c r="AP37" s="41" t="e">
        <f>IF(集計表!AR30=0,NA(),集計表!AR30)</f>
        <v>#N/A</v>
      </c>
      <c r="AQ37" s="41" t="e">
        <f>IF(集計表!AS30=0,NA(),集計表!AS30)</f>
        <v>#N/A</v>
      </c>
      <c r="AR37" s="41" t="e">
        <f>IF(集計表!AT30=0,NA(),集計表!AT30)</f>
        <v>#N/A</v>
      </c>
    </row>
    <row r="38" spans="1:45" s="42" customFormat="1" x14ac:dyDescent="0.2">
      <c r="A38" s="49" t="s">
        <v>2</v>
      </c>
      <c r="B38" s="32">
        <f>集計表!D31</f>
        <v>317</v>
      </c>
      <c r="C38" s="32">
        <f>集計表!E31</f>
        <v>317</v>
      </c>
      <c r="D38" s="32">
        <f>集計表!F31</f>
        <v>317</v>
      </c>
      <c r="E38" s="32">
        <f>集計表!G31</f>
        <v>317</v>
      </c>
      <c r="F38" s="32">
        <f>集計表!H31</f>
        <v>317</v>
      </c>
      <c r="G38" s="32">
        <f>集計表!I31</f>
        <v>317</v>
      </c>
      <c r="H38" s="32">
        <f>集計表!J31</f>
        <v>317</v>
      </c>
      <c r="I38" s="32">
        <f>集計表!K31</f>
        <v>351</v>
      </c>
      <c r="J38" s="32">
        <f>集計表!L31</f>
        <v>351</v>
      </c>
      <c r="K38" s="32">
        <f>集計表!M31</f>
        <v>351</v>
      </c>
      <c r="L38" s="32">
        <f>集計表!N31</f>
        <v>351</v>
      </c>
      <c r="M38" s="32">
        <f>集計表!O31</f>
        <v>351</v>
      </c>
      <c r="N38" s="32">
        <f>集計表!P31</f>
        <v>351</v>
      </c>
      <c r="O38" s="32">
        <f>集計表!Q31</f>
        <v>351</v>
      </c>
      <c r="P38" s="32">
        <f>集計表!R31</f>
        <v>351</v>
      </c>
      <c r="Q38" s="32">
        <f>集計表!S31</f>
        <v>325</v>
      </c>
      <c r="R38" s="32">
        <f>集計表!T31</f>
        <v>325</v>
      </c>
      <c r="S38" s="32">
        <f>集計表!U31</f>
        <v>325</v>
      </c>
      <c r="T38" s="32">
        <f>集計表!V31</f>
        <v>325</v>
      </c>
      <c r="U38" s="32">
        <f>集計表!W31</f>
        <v>325</v>
      </c>
      <c r="V38" s="32">
        <f>集計表!X31</f>
        <v>325</v>
      </c>
      <c r="W38" s="32">
        <f>集計表!Y31</f>
        <v>325</v>
      </c>
      <c r="X38" s="32">
        <f>集計表!Z31</f>
        <v>353</v>
      </c>
      <c r="Y38" s="32">
        <f>集計表!AA31</f>
        <v>353</v>
      </c>
      <c r="Z38" s="32">
        <f>集計表!AB31</f>
        <v>353</v>
      </c>
      <c r="AA38" s="32">
        <f>集計表!AC31</f>
        <v>353</v>
      </c>
      <c r="AB38" s="32">
        <f>集計表!AD31</f>
        <v>353</v>
      </c>
      <c r="AC38" s="32">
        <f>集計表!AE31</f>
        <v>353</v>
      </c>
      <c r="AD38" s="32">
        <f>集計表!AF31</f>
        <v>353</v>
      </c>
      <c r="AE38" s="32">
        <f>集計表!AG31</f>
        <v>366</v>
      </c>
      <c r="AF38" s="32">
        <f>集計表!AH31</f>
        <v>366</v>
      </c>
      <c r="AG38" s="32">
        <f>集計表!AI31</f>
        <v>366</v>
      </c>
      <c r="AH38" s="32">
        <f>集計表!AJ31</f>
        <v>366</v>
      </c>
      <c r="AI38" s="32">
        <f>集計表!AK31</f>
        <v>366</v>
      </c>
      <c r="AJ38" s="32">
        <f>集計表!AL31</f>
        <v>366</v>
      </c>
      <c r="AK38" s="32">
        <f>集計表!AM31</f>
        <v>374</v>
      </c>
      <c r="AL38" s="32">
        <f>集計表!AN31</f>
        <v>374</v>
      </c>
      <c r="AM38" s="32">
        <f>集計表!AO31</f>
        <v>374</v>
      </c>
      <c r="AN38" s="32">
        <f>集計表!AP31</f>
        <v>374</v>
      </c>
      <c r="AO38" s="32">
        <f>集計表!AQ31</f>
        <v>374</v>
      </c>
      <c r="AP38" s="32">
        <f>集計表!AR31</f>
        <v>374</v>
      </c>
      <c r="AQ38" s="32">
        <f>集計表!AS31</f>
        <v>374</v>
      </c>
      <c r="AR38" s="32">
        <f>集計表!AT31</f>
        <v>374</v>
      </c>
    </row>
    <row r="39" spans="1:45" s="42" customFormat="1" ht="13.5" customHeight="1" x14ac:dyDescent="0.2">
      <c r="A39" s="50" t="s">
        <v>23</v>
      </c>
      <c r="B39" s="51">
        <f>IFERROR(B37/B38, "")</f>
        <v>1.2302839116719242</v>
      </c>
      <c r="C39" s="51">
        <f t="shared" ref="C39:AM39" si="0">IFERROR(C37/C38, "")</f>
        <v>1.274447949526814</v>
      </c>
      <c r="D39" s="51">
        <f t="shared" si="0"/>
        <v>1.2681388012618298</v>
      </c>
      <c r="E39" s="51">
        <f t="shared" si="0"/>
        <v>1.2681388012618298</v>
      </c>
      <c r="F39" s="51">
        <f t="shared" si="0"/>
        <v>1.3154574132492114</v>
      </c>
      <c r="G39" s="51">
        <f t="shared" si="0"/>
        <v>1.2555205047318612</v>
      </c>
      <c r="H39" s="51">
        <f t="shared" si="0"/>
        <v>1.2712933753943219</v>
      </c>
      <c r="I39" s="51">
        <f t="shared" si="0"/>
        <v>1.1566951566951567</v>
      </c>
      <c r="J39" s="51">
        <f t="shared" si="0"/>
        <v>1.1652421652421652</v>
      </c>
      <c r="K39" s="51">
        <f t="shared" si="0"/>
        <v>1.2165242165242165</v>
      </c>
      <c r="L39" s="51">
        <f t="shared" si="0"/>
        <v>1.1737891737891737</v>
      </c>
      <c r="M39" s="51">
        <f t="shared" si="0"/>
        <v>1.1908831908831909</v>
      </c>
      <c r="N39" s="51">
        <f t="shared" si="0"/>
        <v>1.225071225071225</v>
      </c>
      <c r="O39" s="51">
        <f t="shared" si="0"/>
        <v>1.2222222222222223</v>
      </c>
      <c r="P39" s="51">
        <f t="shared" si="0"/>
        <v>1.2763532763532763</v>
      </c>
      <c r="Q39" s="51">
        <f t="shared" si="0"/>
        <v>1.36</v>
      </c>
      <c r="R39" s="51">
        <f t="shared" si="0"/>
        <v>1.3815384615384616</v>
      </c>
      <c r="S39" s="51">
        <f t="shared" si="0"/>
        <v>1.3569230769230769</v>
      </c>
      <c r="T39" s="51">
        <f t="shared" si="0"/>
        <v>1.3753846153846154</v>
      </c>
      <c r="U39" s="51">
        <f t="shared" si="0"/>
        <v>1.3876923076923078</v>
      </c>
      <c r="V39" s="51">
        <f t="shared" si="0"/>
        <v>1.36</v>
      </c>
      <c r="W39" s="51">
        <f t="shared" si="0"/>
        <v>1.3753846153846154</v>
      </c>
      <c r="X39" s="51">
        <f t="shared" si="0"/>
        <v>1.2747875354107649</v>
      </c>
      <c r="Y39" s="51">
        <f t="shared" si="0"/>
        <v>1.2861189801699717</v>
      </c>
      <c r="Z39" s="51">
        <f t="shared" si="0"/>
        <v>1.3626062322946175</v>
      </c>
      <c r="AA39" s="51">
        <f t="shared" si="0"/>
        <v>1.3031161473087818</v>
      </c>
      <c r="AB39" s="51">
        <f t="shared" si="0"/>
        <v>1.3767705382436262</v>
      </c>
      <c r="AC39" s="51" t="str">
        <f t="shared" si="0"/>
        <v/>
      </c>
      <c r="AD39" s="51" t="str">
        <f t="shared" si="0"/>
        <v/>
      </c>
      <c r="AE39" s="51" t="str">
        <f t="shared" si="0"/>
        <v/>
      </c>
      <c r="AF39" s="51" t="str">
        <f t="shared" si="0"/>
        <v/>
      </c>
      <c r="AG39" s="51" t="str">
        <f t="shared" si="0"/>
        <v/>
      </c>
      <c r="AH39" s="51" t="str">
        <f t="shared" si="0"/>
        <v/>
      </c>
      <c r="AI39" s="51" t="str">
        <f t="shared" si="0"/>
        <v/>
      </c>
      <c r="AJ39" s="51" t="str">
        <f t="shared" si="0"/>
        <v/>
      </c>
      <c r="AK39" s="51" t="str">
        <f t="shared" si="0"/>
        <v/>
      </c>
      <c r="AL39" s="51" t="str">
        <f t="shared" si="0"/>
        <v/>
      </c>
      <c r="AM39" s="51" t="str">
        <f t="shared" si="0"/>
        <v/>
      </c>
      <c r="AN39" s="51" t="str">
        <f t="shared" ref="AN39:AO39" si="1">IFERROR(AN37/AN38, "")</f>
        <v/>
      </c>
      <c r="AO39" s="51" t="str">
        <f t="shared" si="1"/>
        <v/>
      </c>
      <c r="AP39" s="51" t="str">
        <f t="shared" ref="AP39:AQ39" si="2">IFERROR(AP37/AP38, "")</f>
        <v/>
      </c>
      <c r="AQ39" s="51" t="str">
        <f t="shared" si="2"/>
        <v/>
      </c>
      <c r="AR39" s="51" t="str">
        <f t="shared" ref="AR39" si="3">IFERROR(AR37/AR38, "")</f>
        <v/>
      </c>
    </row>
    <row r="40" spans="1:45" s="33" customFormat="1" ht="30" customHeight="1" x14ac:dyDescent="0.2">
      <c r="A40" s="33" t="s">
        <v>24</v>
      </c>
      <c r="B40" s="34"/>
      <c r="C40" s="34"/>
      <c r="D40" s="35"/>
      <c r="E40" s="34"/>
      <c r="F40" s="36"/>
      <c r="G40" s="34"/>
      <c r="H40" s="34"/>
      <c r="I40" s="34"/>
      <c r="J40" s="34"/>
      <c r="K40" s="37"/>
      <c r="L40" s="34"/>
      <c r="M40" s="3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Q40"/>
      <c r="AR40"/>
      <c r="AS40"/>
    </row>
    <row r="41" spans="1:45" ht="15.6" x14ac:dyDescent="0.2">
      <c r="A41" s="19" t="str">
        <f>A1</f>
        <v>　　２．「トマト」の卸売数量と価格の推移　</v>
      </c>
      <c r="B41" s="10"/>
      <c r="C41" s="10"/>
      <c r="D41" s="10"/>
      <c r="E41" s="10"/>
      <c r="F41" s="10"/>
      <c r="G41" s="10"/>
      <c r="H41" s="10"/>
      <c r="I41" s="10"/>
      <c r="K41" s="10" t="str">
        <f>TEXT(集計表!$C$1,"(e.m/d～)")</f>
        <v>(8.6/1～)</v>
      </c>
      <c r="L41" s="10"/>
      <c r="M41" s="10"/>
      <c r="N41" s="10"/>
    </row>
    <row r="42" spans="1:45" ht="15.6" x14ac:dyDescent="0.2">
      <c r="A42" s="19" t="s">
        <v>17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73" spans="1:45" ht="12.75" customHeight="1" x14ac:dyDescent="0.2"/>
    <row r="74" spans="1:45" s="39" customFormat="1" ht="16.2" customHeight="1" x14ac:dyDescent="0.2">
      <c r="B74" s="38"/>
      <c r="C74" s="38"/>
      <c r="D74" s="40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40"/>
      <c r="S74" s="38"/>
      <c r="T74" s="38"/>
      <c r="U74" s="38"/>
      <c r="V74" s="38"/>
      <c r="W74" s="38"/>
      <c r="X74" s="38"/>
      <c r="Y74" s="38"/>
      <c r="Z74" s="38"/>
      <c r="AA74" s="40"/>
      <c r="AB74" s="38"/>
      <c r="AC74" s="38"/>
      <c r="AD74" s="38"/>
      <c r="AE74" s="38"/>
      <c r="AF74" s="38"/>
      <c r="AG74" s="38"/>
      <c r="AH74" s="38"/>
      <c r="AI74" s="38"/>
      <c r="AJ74" s="44"/>
      <c r="AL74" s="38"/>
      <c r="AM74" s="38"/>
      <c r="AN74" s="44"/>
      <c r="AO74" s="38"/>
      <c r="AP74" s="38"/>
      <c r="AQ74" s="38"/>
      <c r="AR74" s="38"/>
    </row>
    <row r="75" spans="1:45" x14ac:dyDescent="0.2">
      <c r="A75" s="45">
        <f>集計表!C33</f>
        <v>46174</v>
      </c>
      <c r="B75" s="58" t="str">
        <f>集計表!D33</f>
        <v>6/1</v>
      </c>
      <c r="C75" s="47" t="str">
        <f>集計表!E33</f>
        <v>2</v>
      </c>
      <c r="D75" s="47" t="str">
        <f>集計表!F33</f>
        <v>4</v>
      </c>
      <c r="E75" s="47" t="str">
        <f>集計表!G33</f>
        <v>5</v>
      </c>
      <c r="F75" s="47" t="str">
        <f>集計表!H33</f>
        <v>6</v>
      </c>
      <c r="G75" s="47" t="str">
        <f>集計表!I33</f>
        <v>8</v>
      </c>
      <c r="H75" s="47" t="str">
        <f>集計表!J33</f>
        <v>9</v>
      </c>
      <c r="I75" s="47" t="str">
        <f>集計表!K33</f>
        <v>11</v>
      </c>
      <c r="J75" s="47" t="str">
        <f>集計表!L33</f>
        <v>12</v>
      </c>
      <c r="K75" s="47" t="str">
        <f>集計表!M33</f>
        <v>13</v>
      </c>
      <c r="L75" s="47" t="str">
        <f>集計表!N33</f>
        <v>15</v>
      </c>
      <c r="M75" s="47" t="str">
        <f>集計表!O33</f>
        <v>16</v>
      </c>
      <c r="N75" s="47" t="str">
        <f>集計表!P33</f>
        <v>18</v>
      </c>
      <c r="O75" s="47" t="str">
        <f>集計表!Q33</f>
        <v>19</v>
      </c>
      <c r="P75" s="47" t="str">
        <f>集計表!R33</f>
        <v>20</v>
      </c>
      <c r="Q75" s="47" t="str">
        <f>集計表!S33</f>
        <v>22</v>
      </c>
      <c r="R75" s="47" t="str">
        <f>集計表!T33</f>
        <v>23</v>
      </c>
      <c r="S75" s="47" t="str">
        <f>集計表!U33</f>
        <v>25</v>
      </c>
      <c r="T75" s="47" t="str">
        <f>集計表!V33</f>
        <v>26</v>
      </c>
      <c r="U75" s="47" t="str">
        <f>集計表!W33</f>
        <v>27</v>
      </c>
      <c r="V75" s="47" t="str">
        <f>集計表!X33</f>
        <v>29</v>
      </c>
      <c r="W75" s="47" t="str">
        <f>集計表!Y33</f>
        <v>30</v>
      </c>
      <c r="X75" s="47" t="str">
        <f>集計表!Z33</f>
        <v>7/2</v>
      </c>
      <c r="Y75" s="47" t="str">
        <f>集計表!AA33</f>
        <v>3</v>
      </c>
      <c r="Z75" s="47" t="str">
        <f>集計表!AB33</f>
        <v>4</v>
      </c>
      <c r="AA75" s="47" t="str">
        <f>集計表!AC33</f>
        <v>6</v>
      </c>
      <c r="AB75" s="47" t="str">
        <f>集計表!AD33</f>
        <v>7</v>
      </c>
      <c r="AC75" s="47" t="str">
        <f>集計表!AE33</f>
        <v>9</v>
      </c>
      <c r="AD75" s="47" t="str">
        <f>集計表!AF33</f>
        <v>10</v>
      </c>
      <c r="AE75" s="47" t="str">
        <f>集計表!AG33</f>
        <v>11</v>
      </c>
      <c r="AF75" s="47" t="str">
        <f>集計表!AH33</f>
        <v>13</v>
      </c>
      <c r="AG75" s="47" t="str">
        <f>集計表!AI33</f>
        <v>14</v>
      </c>
      <c r="AH75" s="47" t="str">
        <f>集計表!AJ33</f>
        <v>16</v>
      </c>
      <c r="AI75" s="47" t="str">
        <f>集計表!AK33</f>
        <v>17</v>
      </c>
      <c r="AJ75" s="47" t="str">
        <f>集計表!AL33</f>
        <v>18</v>
      </c>
      <c r="AK75" s="47" t="str">
        <f>集計表!AM33</f>
        <v>21</v>
      </c>
      <c r="AL75" s="47" t="str">
        <f>集計表!AN33</f>
        <v>23</v>
      </c>
      <c r="AM75" s="47" t="str">
        <f>集計表!AO33</f>
        <v>24</v>
      </c>
      <c r="AN75" s="47" t="str">
        <f>集計表!AP33</f>
        <v>25</v>
      </c>
      <c r="AO75" s="47" t="str">
        <f>集計表!AQ33</f>
        <v>27</v>
      </c>
      <c r="AP75" s="47" t="str">
        <f>集計表!AR33</f>
        <v>28</v>
      </c>
      <c r="AQ75" s="47" t="str">
        <f>集計表!AS33</f>
        <v>30</v>
      </c>
      <c r="AR75" s="47" t="str">
        <f>集計表!AT33</f>
        <v>31</v>
      </c>
    </row>
    <row r="76" spans="1:45" s="42" customFormat="1" x14ac:dyDescent="0.2">
      <c r="A76" s="49" t="s">
        <v>0</v>
      </c>
      <c r="B76" s="41">
        <f>IF(集計表!D35="","",集計表!D35)</f>
        <v>92.629000000000005</v>
      </c>
      <c r="C76" s="41">
        <f>IF(集計表!E35="","",集計表!E35)</f>
        <v>58.246000000000002</v>
      </c>
      <c r="D76" s="41">
        <f>IF(集計表!F35="","",集計表!F35)</f>
        <v>105.395</v>
      </c>
      <c r="E76" s="41">
        <f>IF(集計表!G35="","",集計表!G35)</f>
        <v>59.838999999999999</v>
      </c>
      <c r="F76" s="41">
        <f>IF(集計表!H35="","",集計表!H35)</f>
        <v>70.195999999999998</v>
      </c>
      <c r="G76" s="41">
        <f>IF(集計表!I35="","",集計表!I35)</f>
        <v>93.37</v>
      </c>
      <c r="H76" s="41">
        <f>IF(集計表!J35="","",集計表!J35)</f>
        <v>56.256999999999998</v>
      </c>
      <c r="I76" s="41">
        <f>IF(集計表!K35="","",集計表!K35)</f>
        <v>81.138000000000005</v>
      </c>
      <c r="J76" s="41">
        <f>IF(集計表!L35="","",集計表!L35)</f>
        <v>47.031999999999996</v>
      </c>
      <c r="K76" s="41">
        <f>IF(集計表!M35="","",集計表!M35)</f>
        <v>58.368000000000002</v>
      </c>
      <c r="L76" s="41">
        <f>IF(集計表!N35="","",集計表!N35)</f>
        <v>70.992999999999995</v>
      </c>
      <c r="M76" s="41">
        <f>IF(集計表!O35="","",集計表!O35)</f>
        <v>54.74</v>
      </c>
      <c r="N76" s="41">
        <f>IF(集計表!P35="","",集計表!P35)</f>
        <v>103.652</v>
      </c>
      <c r="O76" s="41">
        <f>IF(集計表!Q35="","",集計表!Q35)</f>
        <v>48.646000000000001</v>
      </c>
      <c r="P76" s="41">
        <f>IF(集計表!R35="","",集計表!R35)</f>
        <v>58.606000000000002</v>
      </c>
      <c r="Q76" s="41">
        <f>IF(集計表!S35="","",集計表!S35)</f>
        <v>70.209999999999994</v>
      </c>
      <c r="R76" s="41">
        <f>IF(集計表!T35="","",集計表!T35)</f>
        <v>61.85</v>
      </c>
      <c r="S76" s="41">
        <f>IF(集計表!U35="","",集計表!U35)</f>
        <v>88.671999999999997</v>
      </c>
      <c r="T76" s="41">
        <f>IF(集計表!V35="","",集計表!V35)</f>
        <v>40.61</v>
      </c>
      <c r="U76" s="41">
        <f>IF(集計表!W35="","",集計表!W35)</f>
        <v>52.890999999999998</v>
      </c>
      <c r="V76" s="41">
        <f>IF(集計表!X35="","",集計表!X35)</f>
        <v>48.356000000000002</v>
      </c>
      <c r="W76" s="41">
        <f>IF(集計表!Y35="","",集計表!Y35)</f>
        <v>58.238</v>
      </c>
      <c r="X76" s="41">
        <f>IF(集計表!Z35="","",集計表!Z35)</f>
        <v>49.356000000000002</v>
      </c>
      <c r="Y76" s="41">
        <f>IF(集計表!AA35="","",集計表!AA35)</f>
        <v>23.661000000000001</v>
      </c>
      <c r="Z76" s="41">
        <f>IF(集計表!AB35="","",集計表!AB35)</f>
        <v>43.16</v>
      </c>
      <c r="AA76" s="41">
        <f>IF(集計表!AC35="","",集計表!AC35)</f>
        <v>40.402000000000001</v>
      </c>
      <c r="AB76" s="41">
        <f>IF(集計表!AD35="","",集計表!AD35)</f>
        <v>50.125999999999998</v>
      </c>
      <c r="AC76" s="41" t="str">
        <f>IF(集計表!AE35="","",集計表!AE35)</f>
        <v/>
      </c>
      <c r="AD76" s="41" t="str">
        <f>IF(集計表!AF35="","",集計表!AF35)</f>
        <v/>
      </c>
      <c r="AE76" s="41" t="str">
        <f>IF(集計表!AG35="","",集計表!AG35)</f>
        <v/>
      </c>
      <c r="AF76" s="41" t="str">
        <f>IF(集計表!AH35="","",集計表!AH35)</f>
        <v/>
      </c>
      <c r="AG76" s="41" t="str">
        <f>IF(集計表!AI35="","",集計表!AI35)</f>
        <v/>
      </c>
      <c r="AH76" s="41" t="str">
        <f>IF(集計表!AJ35="","",集計表!AJ35)</f>
        <v/>
      </c>
      <c r="AI76" s="41" t="str">
        <f>IF(集計表!AK35="","",集計表!AK35)</f>
        <v/>
      </c>
      <c r="AJ76" s="41" t="str">
        <f>IF(集計表!AL35="","",集計表!AL35)</f>
        <v/>
      </c>
      <c r="AK76" s="41" t="str">
        <f>IF(集計表!AM35="","",集計表!AM35)</f>
        <v/>
      </c>
      <c r="AL76" s="41" t="str">
        <f>IF(集計表!AN35="","",集計表!AN35)</f>
        <v/>
      </c>
      <c r="AM76" s="41" t="str">
        <f>IF(集計表!AO35="","",集計表!AO35)</f>
        <v/>
      </c>
      <c r="AN76" s="41" t="str">
        <f>IF(集計表!AP35="","",集計表!AP35)</f>
        <v/>
      </c>
      <c r="AO76" s="41" t="str">
        <f>IF(集計表!AQ35="","",集計表!AQ35)</f>
        <v/>
      </c>
      <c r="AP76" s="41" t="str">
        <f>IF(集計表!AR35="","",集計表!AR35)</f>
        <v/>
      </c>
      <c r="AQ76" s="41" t="str">
        <f>IF(集計表!AS35="","",集計表!AS35)</f>
        <v/>
      </c>
      <c r="AR76" s="41" t="str">
        <f>IF(集計表!AT35="","",集計表!AT35)</f>
        <v/>
      </c>
    </row>
    <row r="77" spans="1:45" s="42" customFormat="1" x14ac:dyDescent="0.2">
      <c r="A77" s="49" t="s">
        <v>1</v>
      </c>
      <c r="B77" s="41">
        <f>IF(集計表!D36=0,NA(),集計表!D36)</f>
        <v>330</v>
      </c>
      <c r="C77" s="41">
        <f>IF(集計表!E36=0,NA(),集計表!E36)</f>
        <v>337</v>
      </c>
      <c r="D77" s="41">
        <f>IF(集計表!F36=0,NA(),集計表!F36)</f>
        <v>330</v>
      </c>
      <c r="E77" s="41">
        <f>IF(集計表!G36=0,NA(),集計表!G36)</f>
        <v>335</v>
      </c>
      <c r="F77" s="41">
        <f>IF(集計表!H36=0,NA(),集計表!H36)</f>
        <v>341</v>
      </c>
      <c r="G77" s="41">
        <f>IF(集計表!I36=0,NA(),集計表!I36)</f>
        <v>333</v>
      </c>
      <c r="H77" s="41">
        <f>IF(集計表!J36=0,NA(),集計表!J36)</f>
        <v>348</v>
      </c>
      <c r="I77" s="41">
        <f>IF(集計表!K36=0,NA(),集計表!K36)</f>
        <v>343</v>
      </c>
      <c r="J77" s="41">
        <f>IF(集計表!L36=0,NA(),集計表!L36)</f>
        <v>347</v>
      </c>
      <c r="K77" s="41">
        <f>IF(集計表!M36=0,NA(),集計表!M36)</f>
        <v>357</v>
      </c>
      <c r="L77" s="41">
        <f>IF(集計表!N36=0,NA(),集計表!N36)</f>
        <v>365</v>
      </c>
      <c r="M77" s="41">
        <f>IF(集計表!O36=0,NA(),集計表!O36)</f>
        <v>418</v>
      </c>
      <c r="N77" s="41">
        <f>IF(集計表!P36=0,NA(),集計表!P36)</f>
        <v>401</v>
      </c>
      <c r="O77" s="41">
        <f>IF(集計表!Q36=0,NA(),集計表!Q36)</f>
        <v>384</v>
      </c>
      <c r="P77" s="41">
        <f>IF(集計表!R36=0,NA(),集計表!R36)</f>
        <v>393</v>
      </c>
      <c r="Q77" s="41">
        <f>IF(集計表!S36=0,NA(),集計表!S36)</f>
        <v>379</v>
      </c>
      <c r="R77" s="41">
        <f>IF(集計表!T36=0,NA(),集計表!T36)</f>
        <v>412</v>
      </c>
      <c r="S77" s="41">
        <f>IF(集計表!U36=0,NA(),集計表!U36)</f>
        <v>380</v>
      </c>
      <c r="T77" s="41">
        <f>IF(集計表!V36=0,NA(),集計表!V36)</f>
        <v>380</v>
      </c>
      <c r="U77" s="41">
        <f>IF(集計表!W36=0,NA(),集計表!W36)</f>
        <v>381</v>
      </c>
      <c r="V77" s="41">
        <f>IF(集計表!X36=0,NA(),集計表!X36)</f>
        <v>394</v>
      </c>
      <c r="W77" s="41">
        <f>IF(集計表!Y36=0,NA(),集計表!Y36)</f>
        <v>427</v>
      </c>
      <c r="X77" s="41">
        <f>IF(集計表!Z36=0,NA(),集計表!Z36)</f>
        <v>410</v>
      </c>
      <c r="Y77" s="41">
        <f>IF(集計表!AA36=0,NA(),集計表!AA36)</f>
        <v>433</v>
      </c>
      <c r="Z77" s="41">
        <f>IF(集計表!AB36=0,NA(),集計表!AB36)</f>
        <v>430</v>
      </c>
      <c r="AA77" s="41">
        <f>IF(集計表!AC36=0,NA(),集計表!AC36)</f>
        <v>452</v>
      </c>
      <c r="AB77" s="41">
        <f>IF(集計表!AD36=0,NA(),集計表!AD36)</f>
        <v>463</v>
      </c>
      <c r="AC77" s="41" t="e">
        <f>IF(集計表!AE36=0,NA(),集計表!AE36)</f>
        <v>#N/A</v>
      </c>
      <c r="AD77" s="41" t="e">
        <f>IF(集計表!AF36=0,NA(),集計表!AF36)</f>
        <v>#N/A</v>
      </c>
      <c r="AE77" s="41" t="e">
        <f>IF(集計表!AG36=0,NA(),集計表!AG36)</f>
        <v>#N/A</v>
      </c>
      <c r="AF77" s="41" t="e">
        <f>IF(集計表!AH36=0,NA(),集計表!AH36)</f>
        <v>#N/A</v>
      </c>
      <c r="AG77" s="41" t="e">
        <f>IF(集計表!AI36=0,NA(),集計表!AI36)</f>
        <v>#N/A</v>
      </c>
      <c r="AH77" s="41" t="e">
        <f>IF(集計表!AJ36=0,NA(),集計表!AJ36)</f>
        <v>#N/A</v>
      </c>
      <c r="AI77" s="41" t="e">
        <f>IF(集計表!AK36=0,NA(),集計表!AK36)</f>
        <v>#N/A</v>
      </c>
      <c r="AJ77" s="41" t="e">
        <f>IF(集計表!AL36=0,NA(),集計表!AL36)</f>
        <v>#N/A</v>
      </c>
      <c r="AK77" s="41" t="e">
        <f>IF(集計表!AM36=0,NA(),集計表!AM36)</f>
        <v>#N/A</v>
      </c>
      <c r="AL77" s="41" t="e">
        <f>IF(集計表!AN36=0,NA(),集計表!AN36)</f>
        <v>#N/A</v>
      </c>
      <c r="AM77" s="41" t="e">
        <f>IF(集計表!AO36=0,NA(),集計表!AO36)</f>
        <v>#N/A</v>
      </c>
      <c r="AN77" s="41" t="e">
        <f>IF(集計表!AP36=0,NA(),集計表!AP36)</f>
        <v>#N/A</v>
      </c>
      <c r="AO77" s="41" t="e">
        <f>IF(集計表!AQ36=0,NA(),集計表!AQ36)</f>
        <v>#N/A</v>
      </c>
      <c r="AP77" s="41" t="e">
        <f>IF(集計表!AR36=0,NA(),集計表!AR36)</f>
        <v>#N/A</v>
      </c>
      <c r="AQ77" s="41" t="e">
        <f>IF(集計表!AS36=0,NA(),集計表!AS36)</f>
        <v>#N/A</v>
      </c>
      <c r="AR77" s="41" t="e">
        <f>IF(集計表!AT36=0,NA(),集計表!AT36)</f>
        <v>#N/A</v>
      </c>
    </row>
    <row r="78" spans="1:45" s="42" customFormat="1" x14ac:dyDescent="0.2">
      <c r="A78" s="49" t="s">
        <v>2</v>
      </c>
      <c r="B78" s="32">
        <f>集計表!D37</f>
        <v>269</v>
      </c>
      <c r="C78" s="32">
        <f>集計表!E37</f>
        <v>269</v>
      </c>
      <c r="D78" s="32">
        <f>集計表!F37</f>
        <v>269</v>
      </c>
      <c r="E78" s="32">
        <f>集計表!G37</f>
        <v>269</v>
      </c>
      <c r="F78" s="32">
        <f>集計表!H37</f>
        <v>269</v>
      </c>
      <c r="G78" s="32">
        <f>集計表!I37</f>
        <v>269</v>
      </c>
      <c r="H78" s="32">
        <f>集計表!J37</f>
        <v>269</v>
      </c>
      <c r="I78" s="32">
        <f>集計表!K37</f>
        <v>294</v>
      </c>
      <c r="J78" s="32">
        <f>集計表!L37</f>
        <v>294</v>
      </c>
      <c r="K78" s="32">
        <f>集計表!M37</f>
        <v>294</v>
      </c>
      <c r="L78" s="32">
        <f>集計表!N37</f>
        <v>294</v>
      </c>
      <c r="M78" s="32">
        <f>集計表!O37</f>
        <v>294</v>
      </c>
      <c r="N78" s="32">
        <f>集計表!P37</f>
        <v>294</v>
      </c>
      <c r="O78" s="32">
        <f>集計表!Q37</f>
        <v>294</v>
      </c>
      <c r="P78" s="32">
        <f>集計表!R37</f>
        <v>294</v>
      </c>
      <c r="Q78" s="32">
        <f>集計表!S37</f>
        <v>284</v>
      </c>
      <c r="R78" s="32">
        <f>集計表!T37</f>
        <v>284</v>
      </c>
      <c r="S78" s="32">
        <f>集計表!U37</f>
        <v>284</v>
      </c>
      <c r="T78" s="32">
        <f>集計表!V37</f>
        <v>284</v>
      </c>
      <c r="U78" s="32">
        <f>集計表!W37</f>
        <v>284</v>
      </c>
      <c r="V78" s="32">
        <f>集計表!X37</f>
        <v>284</v>
      </c>
      <c r="W78" s="32">
        <f>集計表!Y37</f>
        <v>284</v>
      </c>
      <c r="X78" s="32">
        <f>集計表!Z37</f>
        <v>314</v>
      </c>
      <c r="Y78" s="32">
        <f>集計表!AA37</f>
        <v>314</v>
      </c>
      <c r="Z78" s="32">
        <f>集計表!AB37</f>
        <v>314</v>
      </c>
      <c r="AA78" s="32">
        <f>集計表!AC37</f>
        <v>314</v>
      </c>
      <c r="AB78" s="32">
        <f>集計表!AD37</f>
        <v>314</v>
      </c>
      <c r="AC78" s="32">
        <f>集計表!AE37</f>
        <v>314</v>
      </c>
      <c r="AD78" s="32">
        <f>集計表!AF37</f>
        <v>314</v>
      </c>
      <c r="AE78" s="32">
        <f>集計表!AG37</f>
        <v>348</v>
      </c>
      <c r="AF78" s="32">
        <f>集計表!AH37</f>
        <v>348</v>
      </c>
      <c r="AG78" s="32">
        <f>集計表!AI37</f>
        <v>348</v>
      </c>
      <c r="AH78" s="32">
        <f>集計表!AJ37</f>
        <v>348</v>
      </c>
      <c r="AI78" s="32">
        <f>集計表!AK37</f>
        <v>348</v>
      </c>
      <c r="AJ78" s="32">
        <f>集計表!AL37</f>
        <v>348</v>
      </c>
      <c r="AK78" s="32">
        <f>集計表!AM37</f>
        <v>367</v>
      </c>
      <c r="AL78" s="32">
        <f>集計表!AN37</f>
        <v>367</v>
      </c>
      <c r="AM78" s="32">
        <f>集計表!AO37</f>
        <v>367</v>
      </c>
      <c r="AN78" s="32">
        <f>集計表!AP37</f>
        <v>367</v>
      </c>
      <c r="AO78" s="32">
        <f>集計表!AQ37</f>
        <v>367</v>
      </c>
      <c r="AP78" s="32">
        <f>集計表!AR37</f>
        <v>367</v>
      </c>
      <c r="AQ78" s="32">
        <f>集計表!AS37</f>
        <v>367</v>
      </c>
      <c r="AR78" s="32">
        <f>集計表!AT37</f>
        <v>367</v>
      </c>
    </row>
    <row r="79" spans="1:45" s="42" customFormat="1" ht="13.5" customHeight="1" x14ac:dyDescent="0.2">
      <c r="A79" s="50" t="s">
        <v>23</v>
      </c>
      <c r="B79" s="51">
        <f>IFERROR(B77/B78, "")</f>
        <v>1.2267657992565055</v>
      </c>
      <c r="C79" s="51">
        <f t="shared" ref="C79:AM79" si="4">IFERROR(C77/C78, "")</f>
        <v>1.2527881040892193</v>
      </c>
      <c r="D79" s="51">
        <f t="shared" si="4"/>
        <v>1.2267657992565055</v>
      </c>
      <c r="E79" s="51">
        <f t="shared" si="4"/>
        <v>1.245353159851301</v>
      </c>
      <c r="F79" s="51">
        <f t="shared" si="4"/>
        <v>1.2676579925650557</v>
      </c>
      <c r="G79" s="51">
        <f t="shared" si="4"/>
        <v>1.237918215613383</v>
      </c>
      <c r="H79" s="51">
        <f t="shared" si="4"/>
        <v>1.2936802973977695</v>
      </c>
      <c r="I79" s="51">
        <f t="shared" si="4"/>
        <v>1.1666666666666667</v>
      </c>
      <c r="J79" s="51">
        <f t="shared" si="4"/>
        <v>1.1802721088435375</v>
      </c>
      <c r="K79" s="51">
        <f t="shared" si="4"/>
        <v>1.2142857142857142</v>
      </c>
      <c r="L79" s="51">
        <f t="shared" si="4"/>
        <v>1.2414965986394557</v>
      </c>
      <c r="M79" s="51">
        <f t="shared" si="4"/>
        <v>1.4217687074829932</v>
      </c>
      <c r="N79" s="51">
        <f t="shared" si="4"/>
        <v>1.3639455782312926</v>
      </c>
      <c r="O79" s="51">
        <f t="shared" si="4"/>
        <v>1.3061224489795917</v>
      </c>
      <c r="P79" s="51">
        <f t="shared" si="4"/>
        <v>1.3367346938775511</v>
      </c>
      <c r="Q79" s="51">
        <f t="shared" si="4"/>
        <v>1.3345070422535212</v>
      </c>
      <c r="R79" s="51">
        <f t="shared" si="4"/>
        <v>1.4507042253521127</v>
      </c>
      <c r="S79" s="51">
        <f t="shared" si="4"/>
        <v>1.3380281690140845</v>
      </c>
      <c r="T79" s="51">
        <f t="shared" si="4"/>
        <v>1.3380281690140845</v>
      </c>
      <c r="U79" s="51">
        <f t="shared" si="4"/>
        <v>1.341549295774648</v>
      </c>
      <c r="V79" s="51">
        <f t="shared" si="4"/>
        <v>1.3873239436619718</v>
      </c>
      <c r="W79" s="51">
        <f t="shared" si="4"/>
        <v>1.5035211267605635</v>
      </c>
      <c r="X79" s="51">
        <f t="shared" si="4"/>
        <v>1.3057324840764331</v>
      </c>
      <c r="Y79" s="51">
        <f t="shared" si="4"/>
        <v>1.3789808917197452</v>
      </c>
      <c r="Z79" s="51">
        <f t="shared" si="4"/>
        <v>1.3694267515923566</v>
      </c>
      <c r="AA79" s="51">
        <f t="shared" si="4"/>
        <v>1.4394904458598725</v>
      </c>
      <c r="AB79" s="51">
        <f t="shared" si="4"/>
        <v>1.4745222929936306</v>
      </c>
      <c r="AC79" s="51" t="str">
        <f t="shared" si="4"/>
        <v/>
      </c>
      <c r="AD79" s="51" t="str">
        <f t="shared" si="4"/>
        <v/>
      </c>
      <c r="AE79" s="51" t="str">
        <f t="shared" si="4"/>
        <v/>
      </c>
      <c r="AF79" s="51" t="str">
        <f t="shared" si="4"/>
        <v/>
      </c>
      <c r="AG79" s="51" t="str">
        <f t="shared" si="4"/>
        <v/>
      </c>
      <c r="AH79" s="51" t="str">
        <f t="shared" si="4"/>
        <v/>
      </c>
      <c r="AI79" s="51" t="str">
        <f t="shared" si="4"/>
        <v/>
      </c>
      <c r="AJ79" s="51" t="str">
        <f t="shared" si="4"/>
        <v/>
      </c>
      <c r="AK79" s="51" t="str">
        <f t="shared" si="4"/>
        <v/>
      </c>
      <c r="AL79" s="51" t="str">
        <f t="shared" si="4"/>
        <v/>
      </c>
      <c r="AM79" s="51" t="str">
        <f t="shared" si="4"/>
        <v/>
      </c>
      <c r="AN79" s="51" t="str">
        <f t="shared" ref="AN79:AO79" si="5">IFERROR(AN77/AN78, "")</f>
        <v/>
      </c>
      <c r="AO79" s="51" t="str">
        <f t="shared" si="5"/>
        <v/>
      </c>
      <c r="AP79" s="51" t="str">
        <f t="shared" ref="AP79:AQ79" si="6">IFERROR(AP77/AP78, "")</f>
        <v/>
      </c>
      <c r="AQ79" s="51" t="str">
        <f t="shared" si="6"/>
        <v/>
      </c>
      <c r="AR79" s="51" t="str">
        <f t="shared" ref="AR79" si="7">IFERROR(AR77/AR78, "")</f>
        <v/>
      </c>
    </row>
    <row r="80" spans="1:45" s="33" customFormat="1" ht="30" customHeight="1" x14ac:dyDescent="0.2">
      <c r="A80" s="33" t="s">
        <v>24</v>
      </c>
      <c r="B80" s="34"/>
      <c r="C80" s="34"/>
      <c r="D80" s="35"/>
      <c r="E80" s="34"/>
      <c r="F80" s="36"/>
      <c r="G80" s="34"/>
      <c r="H80" s="34"/>
      <c r="I80" s="34"/>
      <c r="J80" s="34"/>
      <c r="K80" s="37"/>
      <c r="L80" s="34"/>
      <c r="M80" s="37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Q80"/>
      <c r="AR80"/>
      <c r="AS80"/>
    </row>
    <row r="81" spans="1:14" ht="15.6" x14ac:dyDescent="0.2">
      <c r="A81" s="19" t="str">
        <f>A1</f>
        <v>　　２．「トマト」の卸売数量と価格の推移　</v>
      </c>
      <c r="B81" s="10"/>
      <c r="C81" s="10"/>
      <c r="D81" s="10"/>
      <c r="E81" s="10"/>
      <c r="F81" s="10"/>
      <c r="G81" s="10"/>
      <c r="H81" s="10"/>
      <c r="I81" s="10"/>
      <c r="K81" s="10" t="str">
        <f>TEXT(集計表!$C$1,"(e.m/d～)")</f>
        <v>(8.6/1～)</v>
      </c>
      <c r="L81" s="10"/>
      <c r="M81" s="10"/>
      <c r="N81" s="10"/>
    </row>
    <row r="82" spans="1:14" ht="15.6" x14ac:dyDescent="0.2">
      <c r="A82" s="19" t="s">
        <v>18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113" spans="1:44" ht="13.5" customHeight="1" x14ac:dyDescent="0.2"/>
    <row r="114" spans="1:44" s="39" customFormat="1" ht="16.2" customHeight="1" x14ac:dyDescent="0.2">
      <c r="B114" s="38"/>
      <c r="C114" s="38"/>
      <c r="D114" s="40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40"/>
      <c r="S114" s="38"/>
      <c r="T114" s="38"/>
      <c r="U114" s="38"/>
      <c r="V114" s="38"/>
      <c r="W114" s="38"/>
      <c r="X114" s="38"/>
      <c r="Y114" s="38"/>
      <c r="Z114" s="38"/>
      <c r="AA114" s="40"/>
      <c r="AB114" s="38"/>
      <c r="AC114" s="38"/>
      <c r="AD114" s="38"/>
      <c r="AE114" s="38"/>
      <c r="AF114" s="62"/>
      <c r="AG114" s="38"/>
      <c r="AH114" s="38"/>
      <c r="AI114" s="38"/>
      <c r="AJ114" s="44"/>
      <c r="AL114" s="38"/>
      <c r="AM114" s="38"/>
      <c r="AN114" s="44"/>
      <c r="AO114" s="38"/>
      <c r="AP114" s="38"/>
      <c r="AQ114" s="38"/>
      <c r="AR114" s="38"/>
    </row>
    <row r="115" spans="1:44" x14ac:dyDescent="0.2">
      <c r="A115" s="45">
        <f>集計表!C39</f>
        <v>46174</v>
      </c>
      <c r="B115" s="58" t="str">
        <f>集計表!D39</f>
        <v>6/1</v>
      </c>
      <c r="C115" s="47" t="str">
        <f>集計表!E39</f>
        <v>2</v>
      </c>
      <c r="D115" s="47" t="str">
        <f>集計表!F39</f>
        <v>4</v>
      </c>
      <c r="E115" s="47" t="str">
        <f>集計表!G39</f>
        <v>5</v>
      </c>
      <c r="F115" s="47" t="str">
        <f>集計表!H39</f>
        <v>6</v>
      </c>
      <c r="G115" s="47" t="str">
        <f>集計表!I39</f>
        <v>8</v>
      </c>
      <c r="H115" s="47" t="str">
        <f>集計表!J39</f>
        <v>9</v>
      </c>
      <c r="I115" s="47" t="str">
        <f>集計表!K39</f>
        <v>11</v>
      </c>
      <c r="J115" s="47" t="str">
        <f>集計表!L39</f>
        <v>12</v>
      </c>
      <c r="K115" s="47" t="str">
        <f>集計表!M39</f>
        <v>13</v>
      </c>
      <c r="L115" s="47" t="str">
        <f>集計表!N39</f>
        <v>15</v>
      </c>
      <c r="M115" s="47" t="str">
        <f>集計表!O39</f>
        <v>16</v>
      </c>
      <c r="N115" s="47" t="str">
        <f>集計表!P39</f>
        <v>18</v>
      </c>
      <c r="O115" s="47" t="str">
        <f>集計表!Q39</f>
        <v>19</v>
      </c>
      <c r="P115" s="47" t="str">
        <f>集計表!R39</f>
        <v>20</v>
      </c>
      <c r="Q115" s="47" t="str">
        <f>集計表!S39</f>
        <v>22</v>
      </c>
      <c r="R115" s="47" t="str">
        <f>集計表!T39</f>
        <v>23</v>
      </c>
      <c r="S115" s="47" t="str">
        <f>集計表!U39</f>
        <v>25</v>
      </c>
      <c r="T115" s="47" t="str">
        <f>集計表!V39</f>
        <v>26</v>
      </c>
      <c r="U115" s="47" t="str">
        <f>集計表!W39</f>
        <v>27</v>
      </c>
      <c r="V115" s="47" t="str">
        <f>集計表!X39</f>
        <v>29</v>
      </c>
      <c r="W115" s="47" t="str">
        <f>集計表!Y39</f>
        <v>30</v>
      </c>
      <c r="X115" s="47" t="str">
        <f>集計表!Z39</f>
        <v>7/2</v>
      </c>
      <c r="Y115" s="47" t="str">
        <f>集計表!AA39</f>
        <v>3</v>
      </c>
      <c r="Z115" s="47" t="str">
        <f>集計表!AB39</f>
        <v>4</v>
      </c>
      <c r="AA115" s="47" t="str">
        <f>集計表!AC39</f>
        <v>6</v>
      </c>
      <c r="AB115" s="47" t="str">
        <f>集計表!AD39</f>
        <v>7</v>
      </c>
      <c r="AC115" s="47" t="str">
        <f>集計表!AE39</f>
        <v>9</v>
      </c>
      <c r="AD115" s="47" t="str">
        <f>集計表!AF39</f>
        <v>10</v>
      </c>
      <c r="AE115" s="47" t="str">
        <f>集計表!AG39</f>
        <v>11</v>
      </c>
      <c r="AF115" s="47" t="str">
        <f>集計表!AH39</f>
        <v>13</v>
      </c>
      <c r="AG115" s="47" t="str">
        <f>集計表!AI39</f>
        <v>14</v>
      </c>
      <c r="AH115" s="47" t="str">
        <f>集計表!AJ39</f>
        <v>16</v>
      </c>
      <c r="AI115" s="47" t="str">
        <f>集計表!AK39</f>
        <v>17</v>
      </c>
      <c r="AJ115" s="47" t="str">
        <f>集計表!AL39</f>
        <v>18</v>
      </c>
      <c r="AK115" s="47" t="str">
        <f>集計表!AM39</f>
        <v>21</v>
      </c>
      <c r="AL115" s="47" t="str">
        <f>集計表!AN39</f>
        <v>23</v>
      </c>
      <c r="AM115" s="47" t="str">
        <f>集計表!AO39</f>
        <v>24</v>
      </c>
      <c r="AN115" s="47" t="str">
        <f>集計表!AP39</f>
        <v>25</v>
      </c>
      <c r="AO115" s="47" t="str">
        <f>集計表!AQ39</f>
        <v>27</v>
      </c>
      <c r="AP115" s="47" t="str">
        <f>集計表!AR39</f>
        <v>28</v>
      </c>
      <c r="AQ115" s="47" t="str">
        <f>集計表!AS39</f>
        <v>30</v>
      </c>
      <c r="AR115" s="47" t="str">
        <f>集計表!AT39</f>
        <v>31</v>
      </c>
    </row>
    <row r="116" spans="1:44" s="42" customFormat="1" x14ac:dyDescent="0.2">
      <c r="A116" s="49" t="s">
        <v>0</v>
      </c>
      <c r="B116" s="41">
        <f>IF(集計表!D41="","",集計表!D41)</f>
        <v>116.02200000000001</v>
      </c>
      <c r="C116" s="41">
        <f>IF(集計表!E41="","",集計表!E41)</f>
        <v>70.417000000000002</v>
      </c>
      <c r="D116" s="41">
        <f>IF(集計表!F41="","",集計表!F41)</f>
        <v>112.553</v>
      </c>
      <c r="E116" s="41">
        <f>IF(集計表!G41="","",集計表!G41)</f>
        <v>68.596999999999994</v>
      </c>
      <c r="F116" s="41">
        <f>IF(集計表!H41="","",集計表!H41)</f>
        <v>79.707999999999998</v>
      </c>
      <c r="G116" s="41">
        <f>IF(集計表!I41="","",集計表!I41)</f>
        <v>134.476</v>
      </c>
      <c r="H116" s="41">
        <f>IF(集計表!J41="","",集計表!J41)</f>
        <v>72.179000000000002</v>
      </c>
      <c r="I116" s="41">
        <f>IF(集計表!K41="","",集計表!K41)</f>
        <v>115.64700000000001</v>
      </c>
      <c r="J116" s="41">
        <f>IF(集計表!L41="","",集計表!L41)</f>
        <v>56.640999999999998</v>
      </c>
      <c r="K116" s="41">
        <f>IF(集計表!M41="","",集計表!M41)</f>
        <v>60.517000000000003</v>
      </c>
      <c r="L116" s="41">
        <f>IF(集計表!N41="","",集計表!N41)</f>
        <v>93.706000000000003</v>
      </c>
      <c r="M116" s="41">
        <f>IF(集計表!O41="","",集計表!O41)</f>
        <v>63.064999999999998</v>
      </c>
      <c r="N116" s="41">
        <f>IF(集計表!P41="","",集計表!P41)</f>
        <v>97.733000000000004</v>
      </c>
      <c r="O116" s="41">
        <f>IF(集計表!Q41="","",集計表!Q41)</f>
        <v>67.724999999999994</v>
      </c>
      <c r="P116" s="41">
        <f>IF(集計表!R41="","",集計表!R41)</f>
        <v>57.841000000000001</v>
      </c>
      <c r="Q116" s="41">
        <f>IF(集計表!S41="","",集計表!S41)</f>
        <v>104.014</v>
      </c>
      <c r="R116" s="41">
        <f>IF(集計表!T41="","",集計表!T41)</f>
        <v>75.054000000000002</v>
      </c>
      <c r="S116" s="41">
        <f>IF(集計表!U41="","",集計表!U41)</f>
        <v>97.966999999999999</v>
      </c>
      <c r="T116" s="41">
        <f>IF(集計表!V41="","",集計表!V41)</f>
        <v>52.918999999999997</v>
      </c>
      <c r="U116" s="41">
        <f>IF(集計表!W41="","",集計表!W41)</f>
        <v>54.460999999999999</v>
      </c>
      <c r="V116" s="41">
        <f>IF(集計表!X41="","",集計表!X41)</f>
        <v>88.474999999999994</v>
      </c>
      <c r="W116" s="41">
        <f>IF(集計表!Y41="","",集計表!Y41)</f>
        <v>58.764000000000003</v>
      </c>
      <c r="X116" s="41">
        <f>IF(集計表!Z41="","",集計表!Z41)</f>
        <v>80.835999999999999</v>
      </c>
      <c r="Y116" s="41">
        <f>IF(集計表!AA41="","",集計表!AA41)</f>
        <v>49.109000000000002</v>
      </c>
      <c r="Z116" s="41">
        <f>IF(集計表!AB41="","",集計表!AB41)</f>
        <v>54.652999999999999</v>
      </c>
      <c r="AA116" s="41">
        <f>IF(集計表!AC41="","",集計表!AC41)</f>
        <v>91.622</v>
      </c>
      <c r="AB116" s="41">
        <f>IF(集計表!AD41="","",集計表!AD41)</f>
        <v>51.146000000000001</v>
      </c>
      <c r="AC116" s="41" t="str">
        <f>IF(集計表!AE41="","",集計表!AE41)</f>
        <v/>
      </c>
      <c r="AD116" s="41" t="str">
        <f>IF(集計表!AF41="","",集計表!AF41)</f>
        <v/>
      </c>
      <c r="AE116" s="41" t="str">
        <f>IF(集計表!AG41="","",集計表!AG41)</f>
        <v/>
      </c>
      <c r="AF116" s="41" t="str">
        <f>IF(集計表!AH41="","",集計表!AH41)</f>
        <v/>
      </c>
      <c r="AG116" s="41" t="str">
        <f>IF(集計表!AI41="","",集計表!AI41)</f>
        <v/>
      </c>
      <c r="AH116" s="41" t="str">
        <f>IF(集計表!AJ41="","",集計表!AJ41)</f>
        <v/>
      </c>
      <c r="AI116" s="41" t="str">
        <f>IF(集計表!AK41="","",集計表!AK41)</f>
        <v/>
      </c>
      <c r="AJ116" s="41" t="str">
        <f>IF(集計表!AL41="","",集計表!AL41)</f>
        <v/>
      </c>
      <c r="AK116" s="41" t="str">
        <f>IF(集計表!AM41="","",集計表!AM41)</f>
        <v/>
      </c>
      <c r="AL116" s="41" t="str">
        <f>IF(集計表!AN41="","",集計表!AN41)</f>
        <v/>
      </c>
      <c r="AM116" s="41" t="str">
        <f>IF(集計表!AO41="","",集計表!AO41)</f>
        <v/>
      </c>
      <c r="AN116" s="41" t="str">
        <f>IF(集計表!AP41="","",集計表!AP41)</f>
        <v/>
      </c>
      <c r="AO116" s="41" t="str">
        <f>IF(集計表!AQ41="","",集計表!AQ41)</f>
        <v/>
      </c>
      <c r="AP116" s="41" t="str">
        <f>IF(集計表!AR41="","",集計表!AR41)</f>
        <v/>
      </c>
      <c r="AQ116" s="41" t="str">
        <f>IF(集計表!AS41="","",集計表!AS41)</f>
        <v/>
      </c>
      <c r="AR116" s="41" t="str">
        <f>IF(集計表!AT41="","",集計表!AT41)</f>
        <v/>
      </c>
    </row>
    <row r="117" spans="1:44" s="42" customFormat="1" x14ac:dyDescent="0.2">
      <c r="A117" s="49" t="s">
        <v>1</v>
      </c>
      <c r="B117" s="41">
        <f>IF(集計表!D42=0,NA(),集計表!D42)</f>
        <v>363</v>
      </c>
      <c r="C117" s="41">
        <f>IF(集計表!E42=0,NA(),集計表!E42)</f>
        <v>374</v>
      </c>
      <c r="D117" s="41">
        <f>IF(集計表!F42=0,NA(),集計表!F42)</f>
        <v>368</v>
      </c>
      <c r="E117" s="41">
        <f>IF(集計表!G42=0,NA(),集計表!G42)</f>
        <v>368</v>
      </c>
      <c r="F117" s="41">
        <f>IF(集計表!H42=0,NA(),集計表!H42)</f>
        <v>383</v>
      </c>
      <c r="G117" s="41">
        <f>IF(集計表!I42=0,NA(),集計表!I42)</f>
        <v>363</v>
      </c>
      <c r="H117" s="41">
        <f>IF(集計表!J42=0,NA(),集計表!J42)</f>
        <v>374</v>
      </c>
      <c r="I117" s="41">
        <f>IF(集計表!K42=0,NA(),集計表!K42)</f>
        <v>367</v>
      </c>
      <c r="J117" s="41">
        <f>IF(集計表!L42=0,NA(),集計表!L42)</f>
        <v>361</v>
      </c>
      <c r="K117" s="41">
        <f>IF(集計表!M42=0,NA(),集計表!M42)</f>
        <v>379</v>
      </c>
      <c r="L117" s="41">
        <f>IF(集計表!N42=0,NA(),集計表!N42)</f>
        <v>370</v>
      </c>
      <c r="M117" s="41">
        <f>IF(集計表!O42=0,NA(),集計表!O42)</f>
        <v>390</v>
      </c>
      <c r="N117" s="41">
        <f>IF(集計表!P42=0,NA(),集計表!P42)</f>
        <v>391</v>
      </c>
      <c r="O117" s="41">
        <f>IF(集計表!Q42=0,NA(),集計表!Q42)</f>
        <v>392</v>
      </c>
      <c r="P117" s="41">
        <f>IF(集計表!R42=0,NA(),集計表!R42)</f>
        <v>404</v>
      </c>
      <c r="Q117" s="41">
        <f>IF(集計表!S42=0,NA(),集計表!S42)</f>
        <v>419</v>
      </c>
      <c r="R117" s="41">
        <f>IF(集計表!T42=0,NA(),集計表!T42)</f>
        <v>433</v>
      </c>
      <c r="S117" s="41">
        <f>IF(集計表!U42=0,NA(),集計表!U42)</f>
        <v>412</v>
      </c>
      <c r="T117" s="41">
        <f>IF(集計表!V42=0,NA(),集計表!V42)</f>
        <v>401</v>
      </c>
      <c r="U117" s="41">
        <f>IF(集計表!W42=0,NA(),集計表!W42)</f>
        <v>416</v>
      </c>
      <c r="V117" s="41">
        <f>IF(集計表!X42=0,NA(),集計表!X42)</f>
        <v>395</v>
      </c>
      <c r="W117" s="41">
        <f>IF(集計表!Y42=0,NA(),集計表!Y42)</f>
        <v>420</v>
      </c>
      <c r="X117" s="41">
        <f>IF(集計表!Z42=0,NA(),集計表!Z42)</f>
        <v>409</v>
      </c>
      <c r="Y117" s="41">
        <f>IF(集計表!AA42=0,NA(),集計表!AA42)</f>
        <v>428</v>
      </c>
      <c r="Z117" s="41">
        <f>IF(集計表!AB42=0,NA(),集計表!AB42)</f>
        <v>446</v>
      </c>
      <c r="AA117" s="41">
        <f>IF(集計表!AC42=0,NA(),集計表!AC42)</f>
        <v>436</v>
      </c>
      <c r="AB117" s="41">
        <f>IF(集計表!AD42=0,NA(),集計表!AD42)</f>
        <v>449</v>
      </c>
      <c r="AC117" s="41" t="e">
        <f>IF(集計表!AE42=0,NA(),集計表!AE42)</f>
        <v>#N/A</v>
      </c>
      <c r="AD117" s="41" t="e">
        <f>IF(集計表!AF42=0,NA(),集計表!AF42)</f>
        <v>#N/A</v>
      </c>
      <c r="AE117" s="41" t="e">
        <f>IF(集計表!AG42=0,NA(),集計表!AG42)</f>
        <v>#N/A</v>
      </c>
      <c r="AF117" s="41" t="e">
        <f>IF(集計表!AH42=0,NA(),集計表!AH42)</f>
        <v>#N/A</v>
      </c>
      <c r="AG117" s="41" t="e">
        <f>IF(集計表!AI42=0,NA(),集計表!AI42)</f>
        <v>#N/A</v>
      </c>
      <c r="AH117" s="41" t="e">
        <f>IF(集計表!AJ42=0,NA(),集計表!AJ42)</f>
        <v>#N/A</v>
      </c>
      <c r="AI117" s="41" t="e">
        <f>IF(集計表!AK42=0,NA(),集計表!AK42)</f>
        <v>#N/A</v>
      </c>
      <c r="AJ117" s="41" t="e">
        <f>IF(集計表!AL42=0,NA(),集計表!AL42)</f>
        <v>#N/A</v>
      </c>
      <c r="AK117" s="41" t="e">
        <f>IF(集計表!AM42=0,NA(),集計表!AM42)</f>
        <v>#N/A</v>
      </c>
      <c r="AL117" s="41" t="e">
        <f>IF(集計表!AN42=0,NA(),集計表!AN42)</f>
        <v>#N/A</v>
      </c>
      <c r="AM117" s="41" t="e">
        <f>IF(集計表!AO42=0,NA(),集計表!AO42)</f>
        <v>#N/A</v>
      </c>
      <c r="AN117" s="41" t="e">
        <f>IF(集計表!AP42=0,NA(),集計表!AP42)</f>
        <v>#N/A</v>
      </c>
      <c r="AO117" s="41" t="e">
        <f>IF(集計表!AQ42=0,NA(),集計表!AQ42)</f>
        <v>#N/A</v>
      </c>
      <c r="AP117" s="41" t="e">
        <f>IF(集計表!AR42=0,NA(),集計表!AR42)</f>
        <v>#N/A</v>
      </c>
      <c r="AQ117" s="41" t="e">
        <f>IF(集計表!AS42=0,NA(),集計表!AS42)</f>
        <v>#N/A</v>
      </c>
      <c r="AR117" s="41" t="e">
        <f>IF(集計表!AT42=0,NA(),集計表!AT42)</f>
        <v>#N/A</v>
      </c>
    </row>
    <row r="118" spans="1:44" s="42" customFormat="1" x14ac:dyDescent="0.2">
      <c r="A118" s="49" t="s">
        <v>2</v>
      </c>
      <c r="B118" s="32">
        <f>集計表!D43</f>
        <v>311</v>
      </c>
      <c r="C118" s="32">
        <f>集計表!E43</f>
        <v>311</v>
      </c>
      <c r="D118" s="32">
        <f>集計表!F43</f>
        <v>311</v>
      </c>
      <c r="E118" s="32">
        <f>集計表!G43</f>
        <v>311</v>
      </c>
      <c r="F118" s="32">
        <f>集計表!H43</f>
        <v>311</v>
      </c>
      <c r="G118" s="32">
        <f>集計表!I43</f>
        <v>311</v>
      </c>
      <c r="H118" s="32">
        <f>集計表!J43</f>
        <v>311</v>
      </c>
      <c r="I118" s="32">
        <f>集計表!K43</f>
        <v>333</v>
      </c>
      <c r="J118" s="32">
        <f>集計表!L43</f>
        <v>333</v>
      </c>
      <c r="K118" s="32">
        <f>集計表!M43</f>
        <v>333</v>
      </c>
      <c r="L118" s="32">
        <f>集計表!N43</f>
        <v>333</v>
      </c>
      <c r="M118" s="32">
        <f>集計表!O43</f>
        <v>333</v>
      </c>
      <c r="N118" s="32">
        <f>集計表!P43</f>
        <v>333</v>
      </c>
      <c r="O118" s="32">
        <f>集計表!Q43</f>
        <v>333</v>
      </c>
      <c r="P118" s="32">
        <f>集計表!R43</f>
        <v>333</v>
      </c>
      <c r="Q118" s="32">
        <f>集計表!S43</f>
        <v>335</v>
      </c>
      <c r="R118" s="32">
        <f>集計表!T43</f>
        <v>335</v>
      </c>
      <c r="S118" s="32">
        <f>集計表!U43</f>
        <v>335</v>
      </c>
      <c r="T118" s="32">
        <f>集計表!V43</f>
        <v>335</v>
      </c>
      <c r="U118" s="32">
        <f>集計表!W43</f>
        <v>335</v>
      </c>
      <c r="V118" s="32">
        <f>集計表!X43</f>
        <v>335</v>
      </c>
      <c r="W118" s="32">
        <f>集計表!Y43</f>
        <v>335</v>
      </c>
      <c r="X118" s="32">
        <f>集計表!Z43</f>
        <v>348</v>
      </c>
      <c r="Y118" s="32">
        <f>集計表!AA43</f>
        <v>348</v>
      </c>
      <c r="Z118" s="32">
        <f>集計表!AB43</f>
        <v>348</v>
      </c>
      <c r="AA118" s="32">
        <f>集計表!AC43</f>
        <v>348</v>
      </c>
      <c r="AB118" s="32">
        <f>集計表!AD43</f>
        <v>348</v>
      </c>
      <c r="AC118" s="32">
        <f>集計表!AE43</f>
        <v>348</v>
      </c>
      <c r="AD118" s="32">
        <f>集計表!AF43</f>
        <v>348</v>
      </c>
      <c r="AE118" s="32">
        <f>集計表!AG43</f>
        <v>359</v>
      </c>
      <c r="AF118" s="32">
        <f>集計表!AH43</f>
        <v>359</v>
      </c>
      <c r="AG118" s="32">
        <f>集計表!AI43</f>
        <v>359</v>
      </c>
      <c r="AH118" s="32">
        <f>集計表!AJ43</f>
        <v>359</v>
      </c>
      <c r="AI118" s="32">
        <f>集計表!AK43</f>
        <v>359</v>
      </c>
      <c r="AJ118" s="32">
        <f>集計表!AL43</f>
        <v>359</v>
      </c>
      <c r="AK118" s="32">
        <f>集計表!AM43</f>
        <v>361</v>
      </c>
      <c r="AL118" s="32">
        <f>集計表!AN43</f>
        <v>361</v>
      </c>
      <c r="AM118" s="32">
        <f>集計表!AO43</f>
        <v>361</v>
      </c>
      <c r="AN118" s="32">
        <f>集計表!AP43</f>
        <v>361</v>
      </c>
      <c r="AO118" s="32">
        <f>集計表!AQ43</f>
        <v>361</v>
      </c>
      <c r="AP118" s="32">
        <f>集計表!AR43</f>
        <v>361</v>
      </c>
      <c r="AQ118" s="32">
        <f>集計表!AS43</f>
        <v>361</v>
      </c>
      <c r="AR118" s="32">
        <f>集計表!AT43</f>
        <v>361</v>
      </c>
    </row>
    <row r="119" spans="1:44" s="42" customFormat="1" ht="13.5" customHeight="1" x14ac:dyDescent="0.2">
      <c r="A119" s="50" t="s">
        <v>23</v>
      </c>
      <c r="B119" s="51">
        <f>IFERROR(B117/B118, "")</f>
        <v>1.167202572347267</v>
      </c>
      <c r="C119" s="51">
        <f t="shared" ref="C119:AM119" si="8">IFERROR(C117/C118, "")</f>
        <v>1.202572347266881</v>
      </c>
      <c r="D119" s="51">
        <f t="shared" si="8"/>
        <v>1.1832797427652733</v>
      </c>
      <c r="E119" s="51">
        <f t="shared" si="8"/>
        <v>1.1832797427652733</v>
      </c>
      <c r="F119" s="51">
        <f t="shared" si="8"/>
        <v>1.2315112540192925</v>
      </c>
      <c r="G119" s="51">
        <f t="shared" si="8"/>
        <v>1.167202572347267</v>
      </c>
      <c r="H119" s="51">
        <f t="shared" si="8"/>
        <v>1.202572347266881</v>
      </c>
      <c r="I119" s="51">
        <f t="shared" si="8"/>
        <v>1.102102102102102</v>
      </c>
      <c r="J119" s="51">
        <f t="shared" si="8"/>
        <v>1.0840840840840842</v>
      </c>
      <c r="K119" s="51">
        <f t="shared" si="8"/>
        <v>1.1381381381381381</v>
      </c>
      <c r="L119" s="51">
        <f t="shared" si="8"/>
        <v>1.1111111111111112</v>
      </c>
      <c r="M119" s="51">
        <f t="shared" si="8"/>
        <v>1.1711711711711712</v>
      </c>
      <c r="N119" s="51">
        <f t="shared" si="8"/>
        <v>1.1741741741741742</v>
      </c>
      <c r="O119" s="51">
        <f t="shared" si="8"/>
        <v>1.1771771771771771</v>
      </c>
      <c r="P119" s="51">
        <f t="shared" si="8"/>
        <v>1.2132132132132132</v>
      </c>
      <c r="Q119" s="51">
        <f t="shared" si="8"/>
        <v>1.2507462686567163</v>
      </c>
      <c r="R119" s="51">
        <f t="shared" si="8"/>
        <v>1.2925373134328357</v>
      </c>
      <c r="S119" s="51">
        <f t="shared" si="8"/>
        <v>1.2298507462686568</v>
      </c>
      <c r="T119" s="51">
        <f t="shared" si="8"/>
        <v>1.1970149253731344</v>
      </c>
      <c r="U119" s="51">
        <f t="shared" si="8"/>
        <v>1.2417910447761193</v>
      </c>
      <c r="V119" s="51">
        <f t="shared" si="8"/>
        <v>1.1791044776119404</v>
      </c>
      <c r="W119" s="51">
        <f t="shared" si="8"/>
        <v>1.2537313432835822</v>
      </c>
      <c r="X119" s="51">
        <f t="shared" si="8"/>
        <v>1.1752873563218391</v>
      </c>
      <c r="Y119" s="51">
        <f t="shared" si="8"/>
        <v>1.2298850574712643</v>
      </c>
      <c r="Z119" s="51">
        <f t="shared" si="8"/>
        <v>1.2816091954022988</v>
      </c>
      <c r="AA119" s="51">
        <f t="shared" si="8"/>
        <v>1.2528735632183907</v>
      </c>
      <c r="AB119" s="51">
        <f t="shared" si="8"/>
        <v>1.2902298850574712</v>
      </c>
      <c r="AC119" s="51" t="str">
        <f t="shared" si="8"/>
        <v/>
      </c>
      <c r="AD119" s="51" t="str">
        <f t="shared" si="8"/>
        <v/>
      </c>
      <c r="AE119" s="51" t="str">
        <f t="shared" si="8"/>
        <v/>
      </c>
      <c r="AF119" s="51" t="str">
        <f t="shared" si="8"/>
        <v/>
      </c>
      <c r="AG119" s="51" t="str">
        <f t="shared" si="8"/>
        <v/>
      </c>
      <c r="AH119" s="51" t="str">
        <f t="shared" si="8"/>
        <v/>
      </c>
      <c r="AI119" s="51" t="str">
        <f t="shared" si="8"/>
        <v/>
      </c>
      <c r="AJ119" s="51" t="str">
        <f t="shared" si="8"/>
        <v/>
      </c>
      <c r="AK119" s="51" t="str">
        <f t="shared" si="8"/>
        <v/>
      </c>
      <c r="AL119" s="51" t="str">
        <f t="shared" si="8"/>
        <v/>
      </c>
      <c r="AM119" s="51" t="str">
        <f t="shared" si="8"/>
        <v/>
      </c>
      <c r="AN119" s="51" t="str">
        <f t="shared" ref="AN119:AO119" si="9">IFERROR(AN117/AN118, "")</f>
        <v/>
      </c>
      <c r="AO119" s="51" t="str">
        <f t="shared" si="9"/>
        <v/>
      </c>
      <c r="AP119" s="51" t="str">
        <f t="shared" ref="AP119:AQ119" si="10">IFERROR(AP117/AP118, "")</f>
        <v/>
      </c>
      <c r="AQ119" s="51" t="str">
        <f t="shared" si="10"/>
        <v/>
      </c>
      <c r="AR119" s="51" t="str">
        <f t="shared" ref="AR119" si="11">IFERROR(AR117/AR118, "")</f>
        <v/>
      </c>
    </row>
    <row r="120" spans="1:44" s="33" customFormat="1" ht="30" customHeight="1" x14ac:dyDescent="0.2">
      <c r="A120" s="33" t="s">
        <v>24</v>
      </c>
      <c r="B120" s="34"/>
      <c r="C120" s="34"/>
      <c r="D120" s="35"/>
      <c r="E120" s="34"/>
      <c r="F120" s="36"/>
      <c r="G120" s="34"/>
      <c r="H120" s="34"/>
      <c r="I120" s="34"/>
      <c r="J120" s="34"/>
      <c r="K120" s="37"/>
      <c r="L120" s="34"/>
      <c r="M120" s="3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spans="1:44" ht="15.6" x14ac:dyDescent="0.2">
      <c r="A121" s="19" t="str">
        <f>A1</f>
        <v>　　２．「トマト」の卸売数量と価格の推移　</v>
      </c>
      <c r="B121" s="10"/>
      <c r="C121" s="10"/>
      <c r="D121" s="10"/>
      <c r="E121" s="10"/>
      <c r="F121" s="10"/>
      <c r="G121" s="10"/>
      <c r="H121" s="10"/>
      <c r="I121" s="10"/>
      <c r="J121" s="10" t="str">
        <f>TEXT(集計表!$C$1,"(e.m/d～)")</f>
        <v>(8.6/1～)</v>
      </c>
      <c r="K121" s="10"/>
      <c r="L121" s="10"/>
      <c r="M121" s="10"/>
      <c r="N121" s="10"/>
    </row>
    <row r="122" spans="1:44" ht="15.6" x14ac:dyDescent="0.2">
      <c r="A122" s="19" t="s">
        <v>19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53" spans="1:45" ht="13.5" customHeight="1" x14ac:dyDescent="0.2"/>
    <row r="154" spans="1:45" s="39" customFormat="1" ht="15.9" customHeight="1" x14ac:dyDescent="0.2">
      <c r="B154" s="38"/>
      <c r="C154" s="38"/>
      <c r="E154" s="38"/>
      <c r="F154" s="40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X154" s="38"/>
      <c r="Y154" s="38"/>
      <c r="Z154" s="38"/>
      <c r="AA154" s="40"/>
      <c r="AC154" s="38"/>
      <c r="AD154" s="38"/>
      <c r="AE154" s="38"/>
      <c r="AF154" s="38"/>
      <c r="AG154" s="38"/>
      <c r="AH154" s="38"/>
      <c r="AI154" s="38"/>
      <c r="AJ154" s="44"/>
      <c r="AK154" s="38"/>
      <c r="AN154" s="44"/>
      <c r="AO154" s="38"/>
      <c r="AP154" s="38"/>
      <c r="AR154" s="40"/>
    </row>
    <row r="155" spans="1:45" x14ac:dyDescent="0.2">
      <c r="A155" s="45">
        <f>集計表!C45</f>
        <v>46174</v>
      </c>
      <c r="B155" s="58" t="str">
        <f>集計表!D45</f>
        <v>6/1</v>
      </c>
      <c r="C155" s="59" t="str">
        <f>集計表!E45</f>
        <v>2</v>
      </c>
      <c r="D155" s="59" t="str">
        <f>集計表!F45</f>
        <v>4</v>
      </c>
      <c r="E155" s="59" t="str">
        <f>集計表!G45</f>
        <v>5</v>
      </c>
      <c r="F155" s="59" t="str">
        <f>集計表!H45</f>
        <v>6</v>
      </c>
      <c r="G155" s="59" t="str">
        <f>集計表!I45</f>
        <v>8</v>
      </c>
      <c r="H155" s="59" t="str">
        <f>集計表!J45</f>
        <v>9</v>
      </c>
      <c r="I155" s="59" t="str">
        <f>集計表!K45</f>
        <v>11</v>
      </c>
      <c r="J155" s="59" t="str">
        <f>集計表!L45</f>
        <v>12</v>
      </c>
      <c r="K155" s="59" t="str">
        <f>集計表!M45</f>
        <v>13</v>
      </c>
      <c r="L155" s="59" t="str">
        <f>集計表!N45</f>
        <v>15</v>
      </c>
      <c r="M155" s="59" t="str">
        <f>集計表!O45</f>
        <v>16</v>
      </c>
      <c r="N155" s="59" t="str">
        <f>集計表!P45</f>
        <v>18</v>
      </c>
      <c r="O155" s="59" t="str">
        <f>集計表!Q45</f>
        <v>19</v>
      </c>
      <c r="P155" s="59" t="str">
        <f>集計表!R45</f>
        <v>20</v>
      </c>
      <c r="Q155" s="59" t="str">
        <f>集計表!S45</f>
        <v>22</v>
      </c>
      <c r="R155" s="59" t="str">
        <f>集計表!T45</f>
        <v>23</v>
      </c>
      <c r="S155" s="59" t="str">
        <f>集計表!U45</f>
        <v>25</v>
      </c>
      <c r="T155" s="59" t="str">
        <f>集計表!V45</f>
        <v>26</v>
      </c>
      <c r="U155" s="59" t="str">
        <f>集計表!W45</f>
        <v>27</v>
      </c>
      <c r="V155" s="59" t="str">
        <f>集計表!X45</f>
        <v>29</v>
      </c>
      <c r="W155" s="59" t="str">
        <f>集計表!Y45</f>
        <v>30</v>
      </c>
      <c r="X155" s="59" t="str">
        <f>集計表!Z45</f>
        <v>7/2</v>
      </c>
      <c r="Y155" s="59" t="str">
        <f>集計表!AA45</f>
        <v>3</v>
      </c>
      <c r="Z155" s="59" t="str">
        <f>集計表!AB45</f>
        <v>4</v>
      </c>
      <c r="AA155" s="59" t="str">
        <f>集計表!AC45</f>
        <v>6</v>
      </c>
      <c r="AB155" s="59" t="str">
        <f>集計表!AD45</f>
        <v>7</v>
      </c>
      <c r="AC155" s="59" t="str">
        <f>集計表!AE45</f>
        <v>9</v>
      </c>
      <c r="AD155" s="59" t="str">
        <f>集計表!AF45</f>
        <v>10</v>
      </c>
      <c r="AE155" s="59" t="str">
        <f>集計表!AG45</f>
        <v>11</v>
      </c>
      <c r="AF155" s="59" t="str">
        <f>集計表!AH45</f>
        <v>13</v>
      </c>
      <c r="AG155" s="59" t="str">
        <f>集計表!AI45</f>
        <v>14</v>
      </c>
      <c r="AH155" s="59" t="str">
        <f>集計表!AJ45</f>
        <v>16</v>
      </c>
      <c r="AI155" s="59" t="str">
        <f>集計表!AK45</f>
        <v>17</v>
      </c>
      <c r="AJ155" s="59" t="str">
        <f>集計表!AL45</f>
        <v>18</v>
      </c>
      <c r="AK155" s="59" t="str">
        <f>集計表!AM45</f>
        <v>21</v>
      </c>
      <c r="AL155" s="59" t="str">
        <f>集計表!AN45</f>
        <v>23</v>
      </c>
      <c r="AM155" s="59" t="str">
        <f>集計表!AO45</f>
        <v>24</v>
      </c>
      <c r="AN155" s="59" t="str">
        <f>集計表!AP45</f>
        <v>25</v>
      </c>
      <c r="AO155" s="59" t="str">
        <f>集計表!AQ45</f>
        <v>27</v>
      </c>
      <c r="AP155" s="59" t="str">
        <f>集計表!AR45</f>
        <v>28</v>
      </c>
      <c r="AQ155" s="59" t="str">
        <f>集計表!AS45</f>
        <v>30</v>
      </c>
      <c r="AR155" s="59" t="str">
        <f>集計表!AT45</f>
        <v>31</v>
      </c>
    </row>
    <row r="156" spans="1:45" s="42" customFormat="1" x14ac:dyDescent="0.2">
      <c r="A156" s="49" t="s">
        <v>0</v>
      </c>
      <c r="B156" s="32">
        <f>IF(集計表!D47="","",集計表!D47)</f>
        <v>38.658999999999999</v>
      </c>
      <c r="C156" s="32">
        <f>IF(集計表!E47="","",集計表!E47)</f>
        <v>41.555999999999997</v>
      </c>
      <c r="D156" s="32">
        <f>IF(集計表!F47="","",集計表!F47)</f>
        <v>48.404000000000003</v>
      </c>
      <c r="E156" s="32">
        <f>IF(集計表!G47="","",集計表!G47)</f>
        <v>35.673000000000002</v>
      </c>
      <c r="F156" s="32">
        <f>IF(集計表!H47="","",集計表!H47)</f>
        <v>44.64</v>
      </c>
      <c r="G156" s="32">
        <f>IF(集計表!I47="","",集計表!I47)</f>
        <v>57.393000000000001</v>
      </c>
      <c r="H156" s="32">
        <f>IF(集計表!J47="","",集計表!J47)</f>
        <v>45.831000000000003</v>
      </c>
      <c r="I156" s="32">
        <f>IF(集計表!K47="","",集計表!K47)</f>
        <v>57.936</v>
      </c>
      <c r="J156" s="32">
        <f>IF(集計表!L47="","",集計表!L47)</f>
        <v>37.174999999999997</v>
      </c>
      <c r="K156" s="32">
        <f>IF(集計表!M47="","",集計表!M47)</f>
        <v>40.594999999999999</v>
      </c>
      <c r="L156" s="32">
        <f>IF(集計表!N47="","",集計表!N47)</f>
        <v>47.2</v>
      </c>
      <c r="M156" s="32">
        <f>IF(集計表!O47="","",集計表!O47)</f>
        <v>43.091000000000001</v>
      </c>
      <c r="N156" s="32">
        <f>IF(集計表!P47="","",集計表!P47)</f>
        <v>57.350999999999999</v>
      </c>
      <c r="O156" s="32">
        <f>IF(集計表!Q47="","",集計表!Q47)</f>
        <v>32.704000000000001</v>
      </c>
      <c r="P156" s="32">
        <f>IF(集計表!R47="","",集計表!R47)</f>
        <v>35.469000000000001</v>
      </c>
      <c r="Q156" s="32">
        <f>IF(集計表!S47="","",集計表!S47)</f>
        <v>52.076000000000001</v>
      </c>
      <c r="R156" s="32">
        <f>IF(集計表!T47="","",集計表!T47)</f>
        <v>46.036999999999999</v>
      </c>
      <c r="S156" s="32">
        <f>IF(集計表!U47="","",集計表!U47)</f>
        <v>61.771999999999998</v>
      </c>
      <c r="T156" s="32">
        <f>IF(集計表!V47="","",集計表!V47)</f>
        <v>38.287999999999997</v>
      </c>
      <c r="U156" s="32">
        <f>IF(集計表!W47="","",集計表!W47)</f>
        <v>41.606999999999999</v>
      </c>
      <c r="V156" s="32">
        <f>IF(集計表!X47="","",集計表!X47)</f>
        <v>48.835999999999999</v>
      </c>
      <c r="W156" s="32">
        <f>IF(集計表!Y47="","",集計表!Y47)</f>
        <v>36.670999999999999</v>
      </c>
      <c r="X156" s="32">
        <f>IF(集計表!Z47="","",集計表!Z47)</f>
        <v>54.439</v>
      </c>
      <c r="Y156" s="32">
        <f>IF(集計表!AA47="","",集計表!AA47)</f>
        <v>34.225999999999999</v>
      </c>
      <c r="Z156" s="32">
        <f>IF(集計表!AB47="","",集計表!AB47)</f>
        <v>51.345999999999997</v>
      </c>
      <c r="AA156" s="32">
        <f>IF(集計表!AC47="","",集計表!AC47)</f>
        <v>71.061999999999998</v>
      </c>
      <c r="AB156" s="32">
        <f>IF(集計表!AD47="","",集計表!AD47)</f>
        <v>52.807000000000002</v>
      </c>
      <c r="AC156" s="32" t="str">
        <f>IF(集計表!AE47="","",集計表!AE47)</f>
        <v/>
      </c>
      <c r="AD156" s="32" t="str">
        <f>IF(集計表!AF47="","",集計表!AF47)</f>
        <v/>
      </c>
      <c r="AE156" s="32" t="str">
        <f>IF(集計表!AG47="","",集計表!AG47)</f>
        <v/>
      </c>
      <c r="AF156" s="32" t="str">
        <f>IF(集計表!AH47="","",集計表!AH47)</f>
        <v/>
      </c>
      <c r="AG156" s="32" t="str">
        <f>IF(集計表!AI47="","",集計表!AI47)</f>
        <v/>
      </c>
      <c r="AH156" s="32" t="str">
        <f>IF(集計表!AJ47="","",集計表!AJ47)</f>
        <v/>
      </c>
      <c r="AI156" s="32" t="str">
        <f>IF(集計表!AK47="","",集計表!AK47)</f>
        <v/>
      </c>
      <c r="AJ156" s="32" t="str">
        <f>IF(集計表!AL47="","",集計表!AL47)</f>
        <v/>
      </c>
      <c r="AK156" s="32" t="str">
        <f>IF(集計表!AM47="","",集計表!AM47)</f>
        <v/>
      </c>
      <c r="AL156" s="32" t="str">
        <f>IF(集計表!AN47="","",集計表!AN47)</f>
        <v/>
      </c>
      <c r="AM156" s="32" t="str">
        <f>IF(集計表!AO47="","",集計表!AO47)</f>
        <v/>
      </c>
      <c r="AN156" s="32" t="str">
        <f>IF(集計表!AP47="","",集計表!AP47)</f>
        <v/>
      </c>
      <c r="AO156" s="32" t="str">
        <f>IF(集計表!AQ47="","",集計表!AQ47)</f>
        <v/>
      </c>
      <c r="AP156" s="32" t="str">
        <f>IF(集計表!AR47="","",集計表!AR47)</f>
        <v/>
      </c>
      <c r="AQ156" s="32" t="str">
        <f>IF(集計表!AS47="","",集計表!AS47)</f>
        <v/>
      </c>
      <c r="AR156" s="32" t="str">
        <f>IF(集計表!AT47="","",集計表!AT47)</f>
        <v/>
      </c>
    </row>
    <row r="157" spans="1:45" s="42" customFormat="1" x14ac:dyDescent="0.2">
      <c r="A157" s="49" t="s">
        <v>1</v>
      </c>
      <c r="B157" s="32">
        <f>IF(集計表!D48=0,NA(),集計表!D48)</f>
        <v>342</v>
      </c>
      <c r="C157" s="32">
        <f>IF(集計表!E48=0,NA(),集計表!E48)</f>
        <v>342</v>
      </c>
      <c r="D157" s="32">
        <f>IF(集計表!F48=0,NA(),集計表!F48)</f>
        <v>344</v>
      </c>
      <c r="E157" s="32">
        <f>IF(集計表!G48=0,NA(),集計表!G48)</f>
        <v>351</v>
      </c>
      <c r="F157" s="32">
        <f>IF(集計表!H48=0,NA(),集計表!H48)</f>
        <v>348</v>
      </c>
      <c r="G157" s="32">
        <f>IF(集計表!I48=0,NA(),集計表!I48)</f>
        <v>325</v>
      </c>
      <c r="H157" s="32">
        <f>IF(集計表!J48=0,NA(),集計表!J48)</f>
        <v>324</v>
      </c>
      <c r="I157" s="32">
        <f>IF(集計表!K48=0,NA(),集計表!K48)</f>
        <v>319</v>
      </c>
      <c r="J157" s="32">
        <f>IF(集計表!L48=0,NA(),集計表!L48)</f>
        <v>320</v>
      </c>
      <c r="K157" s="32">
        <f>IF(集計表!M48=0,NA(),集計表!M48)</f>
        <v>334</v>
      </c>
      <c r="L157" s="32">
        <f>IF(集計表!N48=0,NA(),集計表!N48)</f>
        <v>341</v>
      </c>
      <c r="M157" s="32">
        <f>IF(集計表!O48=0,NA(),集計表!O48)</f>
        <v>357</v>
      </c>
      <c r="N157" s="32">
        <f>IF(集計表!P48=0,NA(),集計表!P48)</f>
        <v>345</v>
      </c>
      <c r="O157" s="32">
        <f>IF(集計表!Q48=0,NA(),集計表!Q48)</f>
        <v>340</v>
      </c>
      <c r="P157" s="32">
        <f>IF(集計表!R48=0,NA(),集計表!R48)</f>
        <v>360</v>
      </c>
      <c r="Q157" s="32">
        <f>IF(集計表!S48=0,NA(),集計表!S48)</f>
        <v>364</v>
      </c>
      <c r="R157" s="32">
        <f>IF(集計表!T48=0,NA(),集計表!T48)</f>
        <v>356</v>
      </c>
      <c r="S157" s="32">
        <f>IF(集計表!U48=0,NA(),集計表!U48)</f>
        <v>360</v>
      </c>
      <c r="T157" s="32">
        <f>IF(集計表!V48=0,NA(),集計表!V48)</f>
        <v>347</v>
      </c>
      <c r="U157" s="32">
        <f>IF(集計表!W48=0,NA(),集計表!W48)</f>
        <v>360</v>
      </c>
      <c r="V157" s="32">
        <f>IF(集計表!X48=0,NA(),集計表!X48)</f>
        <v>367</v>
      </c>
      <c r="W157" s="32">
        <f>IF(集計表!Y48=0,NA(),集計表!Y48)</f>
        <v>357</v>
      </c>
      <c r="X157" s="32">
        <f>IF(集計表!Z48=0,NA(),集計表!Z48)</f>
        <v>377</v>
      </c>
      <c r="Y157" s="32">
        <f>IF(集計表!AA48=0,NA(),集計表!AA48)</f>
        <v>382</v>
      </c>
      <c r="Z157" s="32">
        <f>IF(集計表!AB48=0,NA(),集計表!AB48)</f>
        <v>385</v>
      </c>
      <c r="AA157" s="32">
        <f>IF(集計表!AC48=0,NA(),集計表!AC48)</f>
        <v>378</v>
      </c>
      <c r="AB157" s="32">
        <f>IF(集計表!AD48=0,NA(),集計表!AD48)</f>
        <v>376</v>
      </c>
      <c r="AC157" s="32" t="e">
        <f>IF(集計表!AE48=0,NA(),集計表!AE48)</f>
        <v>#N/A</v>
      </c>
      <c r="AD157" s="32" t="e">
        <f>IF(集計表!AF48=0,NA(),集計表!AF48)</f>
        <v>#N/A</v>
      </c>
      <c r="AE157" s="32" t="e">
        <f>IF(集計表!AG48=0,NA(),集計表!AG48)</f>
        <v>#N/A</v>
      </c>
      <c r="AF157" s="32" t="e">
        <f>IF(集計表!AH48=0,NA(),集計表!AH48)</f>
        <v>#N/A</v>
      </c>
      <c r="AG157" s="32" t="e">
        <f>IF(集計表!AI48=0,NA(),集計表!AI48)</f>
        <v>#N/A</v>
      </c>
      <c r="AH157" s="32" t="e">
        <f>IF(集計表!AJ48=0,NA(),集計表!AJ48)</f>
        <v>#N/A</v>
      </c>
      <c r="AI157" s="32" t="e">
        <f>IF(集計表!AK48=0,NA(),集計表!AK48)</f>
        <v>#N/A</v>
      </c>
      <c r="AJ157" s="32" t="e">
        <f>IF(集計表!AL48=0,NA(),集計表!AL48)</f>
        <v>#N/A</v>
      </c>
      <c r="AK157" s="32" t="e">
        <f>IF(集計表!AM48=0,NA(),集計表!AM48)</f>
        <v>#N/A</v>
      </c>
      <c r="AL157" s="32" t="e">
        <f>IF(集計表!AN48=0,NA(),集計表!AN48)</f>
        <v>#N/A</v>
      </c>
      <c r="AM157" s="32" t="e">
        <f>IF(集計表!AO48=0,NA(),集計表!AO48)</f>
        <v>#N/A</v>
      </c>
      <c r="AN157" s="32" t="e">
        <f>IF(集計表!AP48=0,NA(),集計表!AP48)</f>
        <v>#N/A</v>
      </c>
      <c r="AO157" s="32" t="e">
        <f>IF(集計表!AQ48=0,NA(),集計表!AQ48)</f>
        <v>#N/A</v>
      </c>
      <c r="AP157" s="32" t="e">
        <f>IF(集計表!AR48=0,NA(),集計表!AR48)</f>
        <v>#N/A</v>
      </c>
      <c r="AQ157" s="32" t="e">
        <f>IF(集計表!AS48=0,NA(),集計表!AS48)</f>
        <v>#N/A</v>
      </c>
      <c r="AR157" s="32" t="e">
        <f>IF(集計表!AT48=0,NA(),集計表!AT48)</f>
        <v>#N/A</v>
      </c>
    </row>
    <row r="158" spans="1:45" s="42" customFormat="1" x14ac:dyDescent="0.2">
      <c r="A158" s="49" t="s">
        <v>2</v>
      </c>
      <c r="B158" s="32">
        <f>集計表!D49</f>
        <v>260</v>
      </c>
      <c r="C158" s="32">
        <f>集計表!E49</f>
        <v>260</v>
      </c>
      <c r="D158" s="32">
        <f>集計表!F49</f>
        <v>260</v>
      </c>
      <c r="E158" s="32">
        <f>集計表!G49</f>
        <v>260</v>
      </c>
      <c r="F158" s="32">
        <f>集計表!H49</f>
        <v>260</v>
      </c>
      <c r="G158" s="32">
        <f>集計表!I49</f>
        <v>260</v>
      </c>
      <c r="H158" s="32">
        <f>集計表!J49</f>
        <v>260</v>
      </c>
      <c r="I158" s="32">
        <f>集計表!K49</f>
        <v>273</v>
      </c>
      <c r="J158" s="32">
        <f>集計表!L49</f>
        <v>273</v>
      </c>
      <c r="K158" s="32">
        <f>集計表!M49</f>
        <v>273</v>
      </c>
      <c r="L158" s="32">
        <f>集計表!N49</f>
        <v>273</v>
      </c>
      <c r="M158" s="32">
        <f>集計表!O49</f>
        <v>273</v>
      </c>
      <c r="N158" s="32">
        <f>集計表!P49</f>
        <v>273</v>
      </c>
      <c r="O158" s="32">
        <f>集計表!Q49</f>
        <v>273</v>
      </c>
      <c r="P158" s="32">
        <f>集計表!R49</f>
        <v>273</v>
      </c>
      <c r="Q158" s="32">
        <f>集計表!S49</f>
        <v>238</v>
      </c>
      <c r="R158" s="32">
        <f>集計表!T49</f>
        <v>238</v>
      </c>
      <c r="S158" s="32">
        <f>集計表!U49</f>
        <v>238</v>
      </c>
      <c r="T158" s="32">
        <f>集計表!V49</f>
        <v>238</v>
      </c>
      <c r="U158" s="32">
        <f>集計表!W49</f>
        <v>238</v>
      </c>
      <c r="V158" s="32">
        <f>集計表!X49</f>
        <v>238</v>
      </c>
      <c r="W158" s="32">
        <f>集計表!Y49</f>
        <v>238</v>
      </c>
      <c r="X158" s="32">
        <f>集計表!Z49</f>
        <v>268</v>
      </c>
      <c r="Y158" s="32">
        <f>集計表!AA49</f>
        <v>268</v>
      </c>
      <c r="Z158" s="32">
        <f>集計表!AB49</f>
        <v>268</v>
      </c>
      <c r="AA158" s="32">
        <f>集計表!AC49</f>
        <v>268</v>
      </c>
      <c r="AB158" s="32">
        <f>集計表!AD49</f>
        <v>268</v>
      </c>
      <c r="AC158" s="32">
        <f>集計表!AE49</f>
        <v>268</v>
      </c>
      <c r="AD158" s="32">
        <f>集計表!AF49</f>
        <v>268</v>
      </c>
      <c r="AE158" s="32">
        <f>集計表!AG49</f>
        <v>279</v>
      </c>
      <c r="AF158" s="32">
        <f>集計表!AH49</f>
        <v>279</v>
      </c>
      <c r="AG158" s="32">
        <f>集計表!AI49</f>
        <v>279</v>
      </c>
      <c r="AH158" s="32">
        <f>集計表!AJ49</f>
        <v>279</v>
      </c>
      <c r="AI158" s="32">
        <f>集計表!AK49</f>
        <v>279</v>
      </c>
      <c r="AJ158" s="32">
        <f>集計表!AL49</f>
        <v>279</v>
      </c>
      <c r="AK158" s="32">
        <f>集計表!AM49</f>
        <v>292</v>
      </c>
      <c r="AL158" s="32">
        <f>集計表!AN49</f>
        <v>292</v>
      </c>
      <c r="AM158" s="32">
        <f>集計表!AO49</f>
        <v>292</v>
      </c>
      <c r="AN158" s="32">
        <f>集計表!AP49</f>
        <v>292</v>
      </c>
      <c r="AO158" s="32">
        <f>集計表!AQ49</f>
        <v>292</v>
      </c>
      <c r="AP158" s="32">
        <f>集計表!AR49</f>
        <v>292</v>
      </c>
      <c r="AQ158" s="32">
        <f>集計表!AS49</f>
        <v>292</v>
      </c>
      <c r="AR158" s="32">
        <f>集計表!AT49</f>
        <v>292</v>
      </c>
    </row>
    <row r="159" spans="1:45" s="42" customFormat="1" ht="13.5" customHeight="1" x14ac:dyDescent="0.2">
      <c r="A159" s="50" t="s">
        <v>23</v>
      </c>
      <c r="B159" s="51">
        <f>IFERROR(B157/B158, "")</f>
        <v>1.3153846153846154</v>
      </c>
      <c r="C159" s="51">
        <f t="shared" ref="C159:AM159" si="12">IFERROR(C157/C158, "")</f>
        <v>1.3153846153846154</v>
      </c>
      <c r="D159" s="51">
        <f t="shared" si="12"/>
        <v>1.323076923076923</v>
      </c>
      <c r="E159" s="51">
        <f t="shared" si="12"/>
        <v>1.35</v>
      </c>
      <c r="F159" s="51">
        <f t="shared" si="12"/>
        <v>1.3384615384615384</v>
      </c>
      <c r="G159" s="51">
        <f t="shared" si="12"/>
        <v>1.25</v>
      </c>
      <c r="H159" s="51">
        <f t="shared" si="12"/>
        <v>1.2461538461538462</v>
      </c>
      <c r="I159" s="51">
        <f t="shared" si="12"/>
        <v>1.1684981684981686</v>
      </c>
      <c r="J159" s="51">
        <f t="shared" si="12"/>
        <v>1.1721611721611722</v>
      </c>
      <c r="K159" s="51">
        <f t="shared" si="12"/>
        <v>1.2234432234432235</v>
      </c>
      <c r="L159" s="51">
        <f t="shared" si="12"/>
        <v>1.2490842490842491</v>
      </c>
      <c r="M159" s="51">
        <f t="shared" si="12"/>
        <v>1.3076923076923077</v>
      </c>
      <c r="N159" s="51">
        <f t="shared" si="12"/>
        <v>1.2637362637362637</v>
      </c>
      <c r="O159" s="51">
        <f t="shared" si="12"/>
        <v>1.2454212454212454</v>
      </c>
      <c r="P159" s="51">
        <f t="shared" si="12"/>
        <v>1.3186813186813187</v>
      </c>
      <c r="Q159" s="51">
        <f t="shared" si="12"/>
        <v>1.5294117647058822</v>
      </c>
      <c r="R159" s="51">
        <f t="shared" si="12"/>
        <v>1.4957983193277311</v>
      </c>
      <c r="S159" s="51">
        <f t="shared" si="12"/>
        <v>1.5126050420168067</v>
      </c>
      <c r="T159" s="51">
        <f t="shared" si="12"/>
        <v>1.4579831932773109</v>
      </c>
      <c r="U159" s="51">
        <f t="shared" si="12"/>
        <v>1.5126050420168067</v>
      </c>
      <c r="V159" s="51">
        <f t="shared" si="12"/>
        <v>1.5420168067226891</v>
      </c>
      <c r="W159" s="51">
        <f t="shared" si="12"/>
        <v>1.5</v>
      </c>
      <c r="X159" s="51">
        <f t="shared" si="12"/>
        <v>1.4067164179104477</v>
      </c>
      <c r="Y159" s="51">
        <f t="shared" si="12"/>
        <v>1.4253731343283582</v>
      </c>
      <c r="Z159" s="51">
        <f t="shared" si="12"/>
        <v>1.4365671641791045</v>
      </c>
      <c r="AA159" s="51">
        <f t="shared" si="12"/>
        <v>1.4104477611940298</v>
      </c>
      <c r="AB159" s="51">
        <f t="shared" si="12"/>
        <v>1.4029850746268657</v>
      </c>
      <c r="AC159" s="51" t="str">
        <f t="shared" si="12"/>
        <v/>
      </c>
      <c r="AD159" s="51" t="str">
        <f t="shared" si="12"/>
        <v/>
      </c>
      <c r="AE159" s="51" t="str">
        <f t="shared" si="12"/>
        <v/>
      </c>
      <c r="AF159" s="51" t="str">
        <f t="shared" si="12"/>
        <v/>
      </c>
      <c r="AG159" s="51" t="str">
        <f t="shared" si="12"/>
        <v/>
      </c>
      <c r="AH159" s="51" t="str">
        <f t="shared" si="12"/>
        <v/>
      </c>
      <c r="AI159" s="51" t="str">
        <f t="shared" si="12"/>
        <v/>
      </c>
      <c r="AJ159" s="51" t="str">
        <f t="shared" si="12"/>
        <v/>
      </c>
      <c r="AK159" s="51" t="str">
        <f t="shared" si="12"/>
        <v/>
      </c>
      <c r="AL159" s="51" t="str">
        <f t="shared" si="12"/>
        <v/>
      </c>
      <c r="AM159" s="51" t="str">
        <f t="shared" si="12"/>
        <v/>
      </c>
      <c r="AN159" s="51" t="str">
        <f t="shared" ref="AN159:AO159" si="13">IFERROR(AN157/AN158, "")</f>
        <v/>
      </c>
      <c r="AO159" s="51" t="str">
        <f t="shared" si="13"/>
        <v/>
      </c>
      <c r="AP159" s="51" t="str">
        <f t="shared" ref="AP159:AQ159" si="14">IFERROR(AP157/AP158, "")</f>
        <v/>
      </c>
      <c r="AQ159" s="51" t="str">
        <f t="shared" si="14"/>
        <v/>
      </c>
      <c r="AR159" s="51" t="str">
        <f t="shared" ref="AR159" si="15">IFERROR(AR157/AR158, "")</f>
        <v/>
      </c>
    </row>
    <row r="160" spans="1:45" s="33" customFormat="1" ht="22.5" customHeight="1" x14ac:dyDescent="0.2">
      <c r="A160" s="33" t="s">
        <v>24</v>
      </c>
      <c r="B160" s="34"/>
      <c r="C160" s="34"/>
      <c r="D160" s="35"/>
      <c r="E160" s="34"/>
      <c r="F160" s="36"/>
      <c r="G160" s="34"/>
      <c r="H160" s="34"/>
      <c r="I160" s="34"/>
      <c r="J160" s="34"/>
      <c r="K160" s="37"/>
      <c r="L160" s="34"/>
      <c r="M160" s="37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Q160"/>
      <c r="AR160"/>
      <c r="AS160"/>
    </row>
  </sheetData>
  <phoneticPr fontId="4"/>
  <conditionalFormatting sqref="B36">
    <cfRule type="expression" dxfId="14" priority="77" stopIfTrue="1">
      <formula>ISERROR(B36)</formula>
    </cfRule>
  </conditionalFormatting>
  <conditionalFormatting sqref="B76">
    <cfRule type="expression" dxfId="13" priority="76" stopIfTrue="1">
      <formula>ISERROR(B76)</formula>
    </cfRule>
  </conditionalFormatting>
  <conditionalFormatting sqref="B116">
    <cfRule type="expression" dxfId="12" priority="75" stopIfTrue="1">
      <formula>ISERROR(B116)</formula>
    </cfRule>
  </conditionalFormatting>
  <conditionalFormatting sqref="B156">
    <cfRule type="expression" dxfId="11" priority="74" stopIfTrue="1">
      <formula>ISERROR(B156)</formula>
    </cfRule>
  </conditionalFormatting>
  <conditionalFormatting sqref="B37:AR37 B77:AR77 B117:AR117 B157:AR157">
    <cfRule type="expression" dxfId="10" priority="81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S160"/>
  <sheetViews>
    <sheetView showGridLines="0" zoomScale="90" zoomScaleNormal="90" zoomScaleSheetLayoutView="80" workbookViewId="0"/>
  </sheetViews>
  <sheetFormatPr defaultRowHeight="13.2" x14ac:dyDescent="0.2"/>
  <cols>
    <col min="1" max="1" width="11.109375" bestFit="1" customWidth="1"/>
    <col min="2" max="44" width="4.109375" style="1" customWidth="1"/>
    <col min="45" max="45" width="3.77734375" customWidth="1"/>
    <col min="46" max="46" width="3.6640625" customWidth="1"/>
  </cols>
  <sheetData>
    <row r="1" spans="1:14" ht="15.6" x14ac:dyDescent="0.2">
      <c r="A1" s="19" t="s">
        <v>14</v>
      </c>
      <c r="B1" s="10"/>
      <c r="C1" s="10"/>
      <c r="D1" s="10"/>
      <c r="E1" s="10"/>
      <c r="F1" s="10"/>
      <c r="G1" s="10"/>
      <c r="H1" s="10"/>
      <c r="I1" s="10"/>
      <c r="K1" s="10" t="str">
        <f>TEXT(集計表!$C$1,"(e.m/d～)")</f>
        <v>(8.6/1～)</v>
      </c>
      <c r="L1" s="10"/>
      <c r="N1" s="10"/>
    </row>
    <row r="2" spans="1:14" ht="15.6" x14ac:dyDescent="0.2">
      <c r="A2" s="19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3" spans="1:45" ht="13.2" customHeight="1" x14ac:dyDescent="0.2">
      <c r="AJ33" s="2"/>
      <c r="AK33" s="2"/>
      <c r="AL33" s="2"/>
      <c r="AM33" s="2"/>
      <c r="AN33" s="2"/>
      <c r="AO33" s="2"/>
      <c r="AP33" s="2"/>
      <c r="AQ33" s="2"/>
      <c r="AR33" s="2"/>
    </row>
    <row r="34" spans="1:45" s="39" customFormat="1" ht="16.2" customHeight="1" x14ac:dyDescent="0.2">
      <c r="B34" s="38"/>
      <c r="C34" s="38"/>
      <c r="D34" s="40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40"/>
      <c r="S34" s="38"/>
      <c r="T34" s="38"/>
      <c r="U34" s="38"/>
      <c r="V34" s="38"/>
      <c r="W34" s="40"/>
      <c r="X34" s="38"/>
      <c r="Y34" s="38"/>
      <c r="Z34" s="38"/>
      <c r="AA34" s="40"/>
      <c r="AB34" s="38"/>
      <c r="AC34" s="38"/>
      <c r="AD34" s="38"/>
      <c r="AE34" s="38"/>
      <c r="AF34" s="38"/>
      <c r="AG34" s="38"/>
      <c r="AH34" s="38"/>
      <c r="AI34" s="38"/>
      <c r="AJ34" s="44"/>
      <c r="AL34" s="38"/>
      <c r="AM34" s="38"/>
      <c r="AN34" s="44"/>
      <c r="AO34" s="38"/>
      <c r="AP34" s="38"/>
      <c r="AQ34" s="38"/>
      <c r="AR34" s="38"/>
    </row>
    <row r="35" spans="1:45" x14ac:dyDescent="0.2">
      <c r="A35" s="45">
        <f>集計表!C53</f>
        <v>46174</v>
      </c>
      <c r="B35" s="52" t="str">
        <f>集計表!D53</f>
        <v>6/1</v>
      </c>
      <c r="C35" s="47" t="str">
        <f>集計表!E53</f>
        <v>2</v>
      </c>
      <c r="D35" s="47" t="str">
        <f>集計表!F53</f>
        <v>4</v>
      </c>
      <c r="E35" s="47" t="str">
        <f>集計表!G53</f>
        <v>5</v>
      </c>
      <c r="F35" s="47" t="str">
        <f>集計表!H53</f>
        <v>6</v>
      </c>
      <c r="G35" s="47" t="str">
        <f>集計表!I53</f>
        <v>8</v>
      </c>
      <c r="H35" s="47" t="str">
        <f>集計表!J53</f>
        <v>9</v>
      </c>
      <c r="I35" s="47" t="str">
        <f>集計表!K53</f>
        <v>11</v>
      </c>
      <c r="J35" s="47" t="str">
        <f>集計表!L53</f>
        <v>12</v>
      </c>
      <c r="K35" s="47" t="str">
        <f>集計表!M53</f>
        <v>13</v>
      </c>
      <c r="L35" s="47" t="str">
        <f>集計表!N53</f>
        <v>15</v>
      </c>
      <c r="M35" s="47" t="str">
        <f>集計表!O53</f>
        <v>16</v>
      </c>
      <c r="N35" s="47" t="str">
        <f>集計表!P53</f>
        <v>18</v>
      </c>
      <c r="O35" s="47" t="str">
        <f>集計表!Q53</f>
        <v>19</v>
      </c>
      <c r="P35" s="48" t="str">
        <f>集計表!R53</f>
        <v>20</v>
      </c>
      <c r="Q35" s="47" t="str">
        <f>集計表!S53</f>
        <v>22</v>
      </c>
      <c r="R35" s="47" t="str">
        <f>集計表!T53</f>
        <v>23</v>
      </c>
      <c r="S35" s="47" t="str">
        <f>集計表!U53</f>
        <v>25</v>
      </c>
      <c r="T35" s="47" t="str">
        <f>集計表!V53</f>
        <v>26</v>
      </c>
      <c r="U35" s="47" t="str">
        <f>集計表!W53</f>
        <v>27</v>
      </c>
      <c r="V35" s="47" t="str">
        <f>集計表!X53</f>
        <v>29</v>
      </c>
      <c r="W35" s="47" t="str">
        <f>集計表!Y53</f>
        <v>30</v>
      </c>
      <c r="X35" s="47" t="str">
        <f>集計表!Z53</f>
        <v>7/2</v>
      </c>
      <c r="Y35" s="47" t="str">
        <f>集計表!AA53</f>
        <v>3</v>
      </c>
      <c r="Z35" s="47" t="str">
        <f>集計表!AB53</f>
        <v>4</v>
      </c>
      <c r="AA35" s="47" t="str">
        <f>集計表!AC53</f>
        <v>6</v>
      </c>
      <c r="AB35" s="47" t="str">
        <f>集計表!AD53</f>
        <v>7</v>
      </c>
      <c r="AC35" s="47" t="str">
        <f>集計表!AE53</f>
        <v>9</v>
      </c>
      <c r="AD35" s="47" t="str">
        <f>集計表!AF53</f>
        <v>10</v>
      </c>
      <c r="AE35" s="47" t="str">
        <f>集計表!AG53</f>
        <v>11</v>
      </c>
      <c r="AF35" s="47" t="str">
        <f>集計表!AH53</f>
        <v>13</v>
      </c>
      <c r="AG35" s="47" t="str">
        <f>集計表!AI53</f>
        <v>14</v>
      </c>
      <c r="AH35" s="47" t="str">
        <f>集計表!AJ53</f>
        <v>16</v>
      </c>
      <c r="AI35" s="47" t="str">
        <f>集計表!AK53</f>
        <v>17</v>
      </c>
      <c r="AJ35" s="47" t="str">
        <f>集計表!AL53</f>
        <v>18</v>
      </c>
      <c r="AK35" s="47" t="str">
        <f>集計表!AM53</f>
        <v>21</v>
      </c>
      <c r="AL35" s="47" t="str">
        <f>集計表!AN53</f>
        <v>23</v>
      </c>
      <c r="AM35" s="47" t="str">
        <f>集計表!AO53</f>
        <v>24</v>
      </c>
      <c r="AN35" s="47" t="str">
        <f>集計表!AP53</f>
        <v>25</v>
      </c>
      <c r="AO35" s="47" t="str">
        <f>集計表!AQ53</f>
        <v>27</v>
      </c>
      <c r="AP35" s="47" t="str">
        <f>集計表!AR53</f>
        <v>28</v>
      </c>
      <c r="AQ35" s="47" t="str">
        <f>集計表!AS53</f>
        <v>30</v>
      </c>
      <c r="AR35" s="47" t="str">
        <f>集計表!AT53</f>
        <v>31</v>
      </c>
    </row>
    <row r="36" spans="1:45" s="42" customFormat="1" x14ac:dyDescent="0.2">
      <c r="A36" s="49" t="s">
        <v>0</v>
      </c>
      <c r="B36" s="41">
        <f>IF(集計表!D55="","",集計表!D55)</f>
        <v>187.58</v>
      </c>
      <c r="C36" s="41">
        <f>IF(集計表!E55="","",集計表!E55)</f>
        <v>117.99</v>
      </c>
      <c r="D36" s="41">
        <f>IF(集計表!F55="","",集計表!F55)</f>
        <v>190.32499999999999</v>
      </c>
      <c r="E36" s="41">
        <f>IF(集計表!G55="","",集計表!G55)</f>
        <v>136.87299999999999</v>
      </c>
      <c r="F36" s="41">
        <f>IF(集計表!H55="","",集計表!H55)</f>
        <v>115.584</v>
      </c>
      <c r="G36" s="41">
        <f>IF(集計表!I55="","",集計表!I55)</f>
        <v>182.774</v>
      </c>
      <c r="H36" s="41">
        <f>IF(集計表!J55="","",集計表!J55)</f>
        <v>110.63</v>
      </c>
      <c r="I36" s="41">
        <f>IF(集計表!K55="","",集計表!K55)</f>
        <v>191.333</v>
      </c>
      <c r="J36" s="41">
        <f>IF(集計表!L55="","",集計表!L55)</f>
        <v>118.619</v>
      </c>
      <c r="K36" s="41">
        <f>IF(集計表!M55="","",集計表!M55)</f>
        <v>126.374</v>
      </c>
      <c r="L36" s="41">
        <f>IF(集計表!N55="","",集計表!N55)</f>
        <v>167.52199999999999</v>
      </c>
      <c r="M36" s="41">
        <f>IF(集計表!O55="","",集計表!O55)</f>
        <v>127.66800000000001</v>
      </c>
      <c r="N36" s="41">
        <f>IF(集計表!P55="","",集計表!P55)</f>
        <v>200.935</v>
      </c>
      <c r="O36" s="41">
        <f>IF(集計表!Q55="","",集計表!Q55)</f>
        <v>133.94800000000001</v>
      </c>
      <c r="P36" s="41">
        <f>IF(集計表!R55="","",集計表!R55)</f>
        <v>146.03399999999999</v>
      </c>
      <c r="Q36" s="41">
        <f>IF(集計表!S55="","",集計表!S55)</f>
        <v>206.22499999999999</v>
      </c>
      <c r="R36" s="41">
        <f>IF(集計表!T55="","",集計表!T55)</f>
        <v>140.78</v>
      </c>
      <c r="S36" s="41">
        <f>IF(集計表!U55="","",集計表!U55)</f>
        <v>201.86099999999999</v>
      </c>
      <c r="T36" s="41">
        <f>IF(集計表!V55="","",集計表!V55)</f>
        <v>126.67100000000001</v>
      </c>
      <c r="U36" s="41">
        <f>IF(集計表!W55="","",集計表!W55)</f>
        <v>123.541</v>
      </c>
      <c r="V36" s="41">
        <f>IF(集計表!X55="","",集計表!X55)</f>
        <v>142.46299999999999</v>
      </c>
      <c r="W36" s="41">
        <f>IF(集計表!Y55="","",集計表!Y55)</f>
        <v>97.35</v>
      </c>
      <c r="X36" s="41">
        <f>IF(集計表!Z55="","",集計表!Z55)</f>
        <v>169.20500000000001</v>
      </c>
      <c r="Y36" s="41">
        <f>IF(集計表!AA55="","",集計表!AA55)</f>
        <v>94.21</v>
      </c>
      <c r="Z36" s="41">
        <f>IF(集計表!AB55="","",集計表!AB55)</f>
        <v>96.061000000000007</v>
      </c>
      <c r="AA36" s="41">
        <f>IF(集計表!AC55="","",集計表!AC55)</f>
        <v>147.69900000000001</v>
      </c>
      <c r="AB36" s="41">
        <f>IF(集計表!AD55="","",集計表!AD55)</f>
        <v>88.965999999999994</v>
      </c>
      <c r="AC36" s="41" t="str">
        <f>IF(集計表!AE55="","",集計表!AE55)</f>
        <v/>
      </c>
      <c r="AD36" s="41" t="str">
        <f>IF(集計表!AF55="","",集計表!AF55)</f>
        <v/>
      </c>
      <c r="AE36" s="41" t="str">
        <f>IF(集計表!AG55="","",集計表!AG55)</f>
        <v/>
      </c>
      <c r="AF36" s="41" t="str">
        <f>IF(集計表!AH55="","",集計表!AH55)</f>
        <v/>
      </c>
      <c r="AG36" s="41" t="str">
        <f>IF(集計表!AI55="","",集計表!AI55)</f>
        <v/>
      </c>
      <c r="AH36" s="41" t="str">
        <f>IF(集計表!AJ55="","",集計表!AJ55)</f>
        <v/>
      </c>
      <c r="AI36" s="41" t="str">
        <f>IF(集計表!AK55="","",集計表!AK55)</f>
        <v/>
      </c>
      <c r="AJ36" s="41" t="str">
        <f>IF(集計表!AL55="","",集計表!AL55)</f>
        <v/>
      </c>
      <c r="AK36" s="41" t="str">
        <f>IF(集計表!AM55="","",集計表!AM55)</f>
        <v/>
      </c>
      <c r="AL36" s="41" t="str">
        <f>IF(集計表!AN55="","",集計表!AN55)</f>
        <v/>
      </c>
      <c r="AM36" s="41" t="str">
        <f>IF(集計表!AO55="","",集計表!AO55)</f>
        <v/>
      </c>
      <c r="AN36" s="41" t="str">
        <f>IF(集計表!AP55="","",集計表!AP55)</f>
        <v/>
      </c>
      <c r="AO36" s="41" t="str">
        <f>IF(集計表!AQ55="","",集計表!AQ55)</f>
        <v/>
      </c>
      <c r="AP36" s="41" t="str">
        <f>IF(集計表!AR55="","",集計表!AR55)</f>
        <v/>
      </c>
      <c r="AQ36" s="41" t="str">
        <f>IF(集計表!AS55="","",集計表!AS55)</f>
        <v/>
      </c>
      <c r="AR36" s="41" t="str">
        <f>IF(集計表!AT55="","",集計表!AT55)</f>
        <v/>
      </c>
    </row>
    <row r="37" spans="1:45" s="42" customFormat="1" x14ac:dyDescent="0.2">
      <c r="A37" s="49" t="s">
        <v>1</v>
      </c>
      <c r="B37" s="41">
        <f>IF(集計表!D56=0,NA(),集計表!D56)</f>
        <v>389</v>
      </c>
      <c r="C37" s="41">
        <f>IF(集計表!E56=0,NA(),集計表!E56)</f>
        <v>392</v>
      </c>
      <c r="D37" s="41">
        <f>IF(集計表!F56=0,NA(),集計表!F56)</f>
        <v>393</v>
      </c>
      <c r="E37" s="41">
        <f>IF(集計表!G56=0,NA(),集計表!G56)</f>
        <v>395</v>
      </c>
      <c r="F37" s="41">
        <f>IF(集計表!H56=0,NA(),集計表!H56)</f>
        <v>409</v>
      </c>
      <c r="G37" s="41">
        <f>IF(集計表!I56=0,NA(),集計表!I56)</f>
        <v>426</v>
      </c>
      <c r="H37" s="41">
        <f>IF(集計表!J56=0,NA(),集計表!J56)</f>
        <v>446</v>
      </c>
      <c r="I37" s="41">
        <f>IF(集計表!K56=0,NA(),集計表!K56)</f>
        <v>437</v>
      </c>
      <c r="J37" s="41">
        <f>IF(集計表!L56=0,NA(),集計表!L56)</f>
        <v>435</v>
      </c>
      <c r="K37" s="41">
        <f>IF(集計表!M56=0,NA(),集計表!M56)</f>
        <v>444</v>
      </c>
      <c r="L37" s="41">
        <f>IF(集計表!N56=0,NA(),集計表!N56)</f>
        <v>447</v>
      </c>
      <c r="M37" s="41">
        <f>IF(集計表!O56=0,NA(),集計表!O56)</f>
        <v>443</v>
      </c>
      <c r="N37" s="41">
        <f>IF(集計表!P56=0,NA(),集計表!P56)</f>
        <v>430</v>
      </c>
      <c r="O37" s="41">
        <f>IF(集計表!Q56=0,NA(),集計表!Q56)</f>
        <v>422</v>
      </c>
      <c r="P37" s="41">
        <f>IF(集計表!R56=0,NA(),集計表!R56)</f>
        <v>424</v>
      </c>
      <c r="Q37" s="41">
        <f>IF(集計表!S56=0,NA(),集計表!S56)</f>
        <v>410</v>
      </c>
      <c r="R37" s="41">
        <f>IF(集計表!T56=0,NA(),集計表!T56)</f>
        <v>398</v>
      </c>
      <c r="S37" s="41">
        <f>IF(集計表!U56=0,NA(),集計表!U56)</f>
        <v>414</v>
      </c>
      <c r="T37" s="41">
        <f>IF(集計表!V56=0,NA(),集計表!V56)</f>
        <v>409</v>
      </c>
      <c r="U37" s="41">
        <f>IF(集計表!W56=0,NA(),集計表!W56)</f>
        <v>414</v>
      </c>
      <c r="V37" s="41">
        <f>IF(集計表!X56=0,NA(),集計表!X56)</f>
        <v>427</v>
      </c>
      <c r="W37" s="41">
        <f>IF(集計表!Y56=0,NA(),集計表!Y56)</f>
        <v>408</v>
      </c>
      <c r="X37" s="41">
        <f>IF(集計表!Z56=0,NA(),集計表!Z56)</f>
        <v>426</v>
      </c>
      <c r="Y37" s="41">
        <f>IF(集計表!AA56=0,NA(),集計表!AA56)</f>
        <v>437</v>
      </c>
      <c r="Z37" s="41">
        <f>IF(集計表!AB56=0,NA(),集計表!AB56)</f>
        <v>451</v>
      </c>
      <c r="AA37" s="41">
        <f>IF(集計表!AC56=0,NA(),集計表!AC56)</f>
        <v>494</v>
      </c>
      <c r="AB37" s="41">
        <f>IF(集計表!AD56=0,NA(),集計表!AD56)</f>
        <v>491</v>
      </c>
      <c r="AC37" s="41" t="e">
        <f>IF(集計表!AE56=0,NA(),集計表!AE56)</f>
        <v>#N/A</v>
      </c>
      <c r="AD37" s="41" t="e">
        <f>IF(集計表!AF56=0,NA(),集計表!AF56)</f>
        <v>#N/A</v>
      </c>
      <c r="AE37" s="41" t="e">
        <f>IF(集計表!AG56=0,NA(),集計表!AG56)</f>
        <v>#N/A</v>
      </c>
      <c r="AF37" s="41" t="e">
        <f>IF(集計表!AH56=0,NA(),集計表!AH56)</f>
        <v>#N/A</v>
      </c>
      <c r="AG37" s="41" t="e">
        <f>IF(集計表!AI56=0,NA(),集計表!AI56)</f>
        <v>#N/A</v>
      </c>
      <c r="AH37" s="41" t="e">
        <f>IF(集計表!AJ56=0,NA(),集計表!AJ56)</f>
        <v>#N/A</v>
      </c>
      <c r="AI37" s="41" t="e">
        <f>IF(集計表!AK56=0,NA(),集計表!AK56)</f>
        <v>#N/A</v>
      </c>
      <c r="AJ37" s="41" t="e">
        <f>IF(集計表!AL56=0,NA(),集計表!AL56)</f>
        <v>#N/A</v>
      </c>
      <c r="AK37" s="41" t="e">
        <f>IF(集計表!AM56=0,NA(),集計表!AM56)</f>
        <v>#N/A</v>
      </c>
      <c r="AL37" s="41" t="e">
        <f>IF(集計表!AN56=0,NA(),集計表!AN56)</f>
        <v>#N/A</v>
      </c>
      <c r="AM37" s="41" t="e">
        <f>IF(集計表!AO56=0,NA(),集計表!AO56)</f>
        <v>#N/A</v>
      </c>
      <c r="AN37" s="41" t="e">
        <f>IF(集計表!AP56=0,NA(),集計表!AP56)</f>
        <v>#N/A</v>
      </c>
      <c r="AO37" s="41" t="e">
        <f>IF(集計表!AQ56=0,NA(),集計表!AQ56)</f>
        <v>#N/A</v>
      </c>
      <c r="AP37" s="41" t="e">
        <f>IF(集計表!AR56=0,NA(),集計表!AR56)</f>
        <v>#N/A</v>
      </c>
      <c r="AQ37" s="41" t="e">
        <f>IF(集計表!AS56=0,NA(),集計表!AS56)</f>
        <v>#N/A</v>
      </c>
      <c r="AR37" s="41" t="e">
        <f>IF(集計表!AT56=0,NA(),集計表!AT56)</f>
        <v>#N/A</v>
      </c>
    </row>
    <row r="38" spans="1:45" s="42" customFormat="1" x14ac:dyDescent="0.2">
      <c r="A38" s="49" t="s">
        <v>2</v>
      </c>
      <c r="B38" s="32">
        <f>集計表!D57</f>
        <v>401</v>
      </c>
      <c r="C38" s="32">
        <f>集計表!E57</f>
        <v>401</v>
      </c>
      <c r="D38" s="32">
        <f>集計表!F57</f>
        <v>401</v>
      </c>
      <c r="E38" s="32">
        <f>集計表!G57</f>
        <v>401</v>
      </c>
      <c r="F38" s="32">
        <f>集計表!H57</f>
        <v>401</v>
      </c>
      <c r="G38" s="32">
        <f>集計表!I57</f>
        <v>401</v>
      </c>
      <c r="H38" s="32">
        <f>集計表!J57</f>
        <v>401</v>
      </c>
      <c r="I38" s="32">
        <f>集計表!K57</f>
        <v>397</v>
      </c>
      <c r="J38" s="32">
        <f>集計表!L57</f>
        <v>397</v>
      </c>
      <c r="K38" s="32">
        <f>集計表!M57</f>
        <v>397</v>
      </c>
      <c r="L38" s="32">
        <f>集計表!N57</f>
        <v>397</v>
      </c>
      <c r="M38" s="32">
        <f>集計表!O57</f>
        <v>397</v>
      </c>
      <c r="N38" s="32">
        <f>集計表!P57</f>
        <v>397</v>
      </c>
      <c r="O38" s="32">
        <f>集計表!Q57</f>
        <v>397</v>
      </c>
      <c r="P38" s="32">
        <f>集計表!R57</f>
        <v>397</v>
      </c>
      <c r="Q38" s="32">
        <f>集計表!S57</f>
        <v>348</v>
      </c>
      <c r="R38" s="32">
        <f>集計表!T57</f>
        <v>348</v>
      </c>
      <c r="S38" s="32">
        <f>集計表!U57</f>
        <v>348</v>
      </c>
      <c r="T38" s="32">
        <f>集計表!V57</f>
        <v>348</v>
      </c>
      <c r="U38" s="32">
        <f>集計表!W57</f>
        <v>348</v>
      </c>
      <c r="V38" s="32">
        <f>集計表!X57</f>
        <v>348</v>
      </c>
      <c r="W38" s="32">
        <f>集計表!Y57</f>
        <v>348</v>
      </c>
      <c r="X38" s="32">
        <f>集計表!Z57</f>
        <v>336</v>
      </c>
      <c r="Y38" s="32">
        <f>集計表!AA57</f>
        <v>336</v>
      </c>
      <c r="Z38" s="32">
        <f>集計表!AB57</f>
        <v>336</v>
      </c>
      <c r="AA38" s="32">
        <f>集計表!AC57</f>
        <v>336</v>
      </c>
      <c r="AB38" s="32">
        <f>集計表!AD57</f>
        <v>336</v>
      </c>
      <c r="AC38" s="32">
        <f>集計表!AE57</f>
        <v>336</v>
      </c>
      <c r="AD38" s="32">
        <f>集計表!AF57</f>
        <v>336</v>
      </c>
      <c r="AE38" s="32">
        <f>集計表!AG57</f>
        <v>352</v>
      </c>
      <c r="AF38" s="32">
        <f>集計表!AH57</f>
        <v>352</v>
      </c>
      <c r="AG38" s="32">
        <f>集計表!AI57</f>
        <v>352</v>
      </c>
      <c r="AH38" s="32">
        <f>集計表!AJ57</f>
        <v>352</v>
      </c>
      <c r="AI38" s="32">
        <f>集計表!AK57</f>
        <v>352</v>
      </c>
      <c r="AJ38" s="32">
        <f>集計表!AL57</f>
        <v>352</v>
      </c>
      <c r="AK38" s="32">
        <f>集計表!AM57</f>
        <v>341</v>
      </c>
      <c r="AL38" s="32">
        <f>集計表!AN57</f>
        <v>341</v>
      </c>
      <c r="AM38" s="32">
        <f>集計表!AO57</f>
        <v>341</v>
      </c>
      <c r="AN38" s="32">
        <f>集計表!AP57</f>
        <v>341</v>
      </c>
      <c r="AO38" s="32">
        <f>集計表!AQ57</f>
        <v>341</v>
      </c>
      <c r="AP38" s="32">
        <f>集計表!AR57</f>
        <v>341</v>
      </c>
      <c r="AQ38" s="32">
        <f>集計表!AS57</f>
        <v>341</v>
      </c>
      <c r="AR38" s="32">
        <f>集計表!AT57</f>
        <v>341</v>
      </c>
    </row>
    <row r="39" spans="1:45" s="42" customFormat="1" ht="13.5" customHeight="1" x14ac:dyDescent="0.2">
      <c r="A39" s="50" t="s">
        <v>23</v>
      </c>
      <c r="B39" s="51">
        <f>IFERROR(B37/B38, "")</f>
        <v>0.97007481296758102</v>
      </c>
      <c r="C39" s="51">
        <f t="shared" ref="C39:AM39" si="0">IFERROR(C37/C38, "")</f>
        <v>0.97755610972568574</v>
      </c>
      <c r="D39" s="51">
        <f t="shared" si="0"/>
        <v>0.98004987531172072</v>
      </c>
      <c r="E39" s="51">
        <f t="shared" si="0"/>
        <v>0.98503740648379057</v>
      </c>
      <c r="F39" s="51">
        <f t="shared" si="0"/>
        <v>1.0199501246882794</v>
      </c>
      <c r="G39" s="51">
        <f t="shared" si="0"/>
        <v>1.0623441396508728</v>
      </c>
      <c r="H39" s="51">
        <f t="shared" si="0"/>
        <v>1.1122194513715711</v>
      </c>
      <c r="I39" s="51">
        <f t="shared" si="0"/>
        <v>1.1007556675062973</v>
      </c>
      <c r="J39" s="51">
        <f t="shared" si="0"/>
        <v>1.0957178841309825</v>
      </c>
      <c r="K39" s="51">
        <f t="shared" si="0"/>
        <v>1.1183879093198992</v>
      </c>
      <c r="L39" s="51">
        <f t="shared" si="0"/>
        <v>1.1259445843828715</v>
      </c>
      <c r="M39" s="51">
        <f t="shared" si="0"/>
        <v>1.1158690176322419</v>
      </c>
      <c r="N39" s="51">
        <f t="shared" si="0"/>
        <v>1.0831234256926952</v>
      </c>
      <c r="O39" s="51">
        <f t="shared" si="0"/>
        <v>1.0629722921914357</v>
      </c>
      <c r="P39" s="51">
        <f t="shared" si="0"/>
        <v>1.0680100755667505</v>
      </c>
      <c r="Q39" s="51">
        <f t="shared" si="0"/>
        <v>1.1781609195402298</v>
      </c>
      <c r="R39" s="51">
        <f t="shared" si="0"/>
        <v>1.1436781609195403</v>
      </c>
      <c r="S39" s="51">
        <f t="shared" si="0"/>
        <v>1.1896551724137931</v>
      </c>
      <c r="T39" s="51">
        <f t="shared" si="0"/>
        <v>1.1752873563218391</v>
      </c>
      <c r="U39" s="51">
        <f t="shared" si="0"/>
        <v>1.1896551724137931</v>
      </c>
      <c r="V39" s="51">
        <f t="shared" si="0"/>
        <v>1.2270114942528736</v>
      </c>
      <c r="W39" s="51">
        <f t="shared" si="0"/>
        <v>1.1724137931034482</v>
      </c>
      <c r="X39" s="51">
        <f t="shared" si="0"/>
        <v>1.2678571428571428</v>
      </c>
      <c r="Y39" s="51">
        <f t="shared" si="0"/>
        <v>1.3005952380952381</v>
      </c>
      <c r="Z39" s="51">
        <f t="shared" si="0"/>
        <v>1.3422619047619047</v>
      </c>
      <c r="AA39" s="51">
        <f t="shared" si="0"/>
        <v>1.4702380952380953</v>
      </c>
      <c r="AB39" s="51">
        <f t="shared" si="0"/>
        <v>1.4613095238095237</v>
      </c>
      <c r="AC39" s="51" t="str">
        <f t="shared" si="0"/>
        <v/>
      </c>
      <c r="AD39" s="51" t="str">
        <f t="shared" si="0"/>
        <v/>
      </c>
      <c r="AE39" s="51" t="str">
        <f t="shared" si="0"/>
        <v/>
      </c>
      <c r="AF39" s="51" t="str">
        <f t="shared" si="0"/>
        <v/>
      </c>
      <c r="AG39" s="51" t="str">
        <f t="shared" si="0"/>
        <v/>
      </c>
      <c r="AH39" s="51" t="str">
        <f t="shared" si="0"/>
        <v/>
      </c>
      <c r="AI39" s="51" t="str">
        <f t="shared" si="0"/>
        <v/>
      </c>
      <c r="AJ39" s="51" t="str">
        <f t="shared" si="0"/>
        <v/>
      </c>
      <c r="AK39" s="51" t="str">
        <f t="shared" si="0"/>
        <v/>
      </c>
      <c r="AL39" s="51" t="str">
        <f t="shared" si="0"/>
        <v/>
      </c>
      <c r="AM39" s="51" t="str">
        <f t="shared" si="0"/>
        <v/>
      </c>
      <c r="AN39" s="51" t="str">
        <f t="shared" ref="AN39:AO39" si="1">IFERROR(AN37/AN38, "")</f>
        <v/>
      </c>
      <c r="AO39" s="51" t="str">
        <f t="shared" si="1"/>
        <v/>
      </c>
      <c r="AP39" s="51" t="str">
        <f t="shared" ref="AP39:AQ39" si="2">IFERROR(AP37/AP38, "")</f>
        <v/>
      </c>
      <c r="AQ39" s="51" t="str">
        <f t="shared" si="2"/>
        <v/>
      </c>
      <c r="AR39" s="51" t="str">
        <f t="shared" ref="AR39" si="3">IFERROR(AR37/AR38, "")</f>
        <v/>
      </c>
    </row>
    <row r="40" spans="1:45" s="33" customFormat="1" ht="30" customHeight="1" x14ac:dyDescent="0.2">
      <c r="A40" s="33" t="s">
        <v>24</v>
      </c>
      <c r="B40" s="34"/>
      <c r="C40" s="34"/>
      <c r="D40" s="35"/>
      <c r="E40" s="34"/>
      <c r="F40" s="36"/>
      <c r="G40" s="34"/>
      <c r="H40" s="34"/>
      <c r="I40" s="34"/>
      <c r="J40" s="34"/>
      <c r="K40" s="37"/>
      <c r="L40" s="34"/>
      <c r="M40" s="3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Q40"/>
      <c r="AR40"/>
      <c r="AS40"/>
    </row>
    <row r="41" spans="1:45" ht="15.6" x14ac:dyDescent="0.2">
      <c r="A41" s="19" t="s">
        <v>14</v>
      </c>
      <c r="B41" s="10"/>
      <c r="C41" s="10"/>
      <c r="D41" s="10"/>
      <c r="E41" s="10"/>
      <c r="F41" s="10"/>
      <c r="G41" s="10"/>
      <c r="H41" s="10"/>
      <c r="I41" s="10"/>
      <c r="K41" s="10" t="str">
        <f>TEXT(集計表!$C$1,"(e.m/d～)")</f>
        <v>(8.6/1～)</v>
      </c>
      <c r="L41" s="10"/>
      <c r="N41" s="10"/>
    </row>
    <row r="42" spans="1:45" ht="15.6" x14ac:dyDescent="0.2">
      <c r="A42" s="19" t="s">
        <v>17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73" spans="1:45" ht="12.75" customHeight="1" x14ac:dyDescent="0.2"/>
    <row r="74" spans="1:45" s="39" customFormat="1" ht="16.2" customHeight="1" x14ac:dyDescent="0.2">
      <c r="B74" s="38"/>
      <c r="C74" s="38"/>
      <c r="D74" s="40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40"/>
      <c r="S74" s="38"/>
      <c r="T74" s="38"/>
      <c r="U74" s="38"/>
      <c r="V74" s="38"/>
      <c r="W74" s="38"/>
      <c r="X74" s="38"/>
      <c r="Y74" s="38"/>
      <c r="Z74" s="38"/>
      <c r="AA74" s="40"/>
      <c r="AB74" s="38"/>
      <c r="AC74" s="38"/>
      <c r="AD74" s="38"/>
      <c r="AE74" s="38"/>
      <c r="AF74" s="38"/>
      <c r="AG74" s="38"/>
      <c r="AH74" s="38"/>
      <c r="AI74" s="38"/>
      <c r="AJ74" s="44"/>
      <c r="AL74" s="38"/>
      <c r="AM74" s="38"/>
      <c r="AN74" s="44"/>
      <c r="AO74" s="38"/>
      <c r="AP74" s="38"/>
      <c r="AQ74" s="38"/>
      <c r="AR74" s="38"/>
    </row>
    <row r="75" spans="1:45" x14ac:dyDescent="0.2">
      <c r="A75" s="45">
        <f>集計表!C59</f>
        <v>46174</v>
      </c>
      <c r="B75" s="58" t="str">
        <f>集計表!D59</f>
        <v>6/1</v>
      </c>
      <c r="C75" s="47" t="str">
        <f>集計表!E59</f>
        <v>2</v>
      </c>
      <c r="D75" s="47" t="str">
        <f>集計表!F59</f>
        <v>4</v>
      </c>
      <c r="E75" s="47" t="str">
        <f>集計表!G59</f>
        <v>5</v>
      </c>
      <c r="F75" s="47" t="str">
        <f>集計表!H59</f>
        <v>6</v>
      </c>
      <c r="G75" s="47" t="str">
        <f>集計表!I59</f>
        <v>8</v>
      </c>
      <c r="H75" s="47" t="str">
        <f>集計表!J59</f>
        <v>9</v>
      </c>
      <c r="I75" s="47" t="str">
        <f>集計表!K59</f>
        <v>11</v>
      </c>
      <c r="J75" s="47" t="str">
        <f>集計表!L59</f>
        <v>12</v>
      </c>
      <c r="K75" s="47" t="str">
        <f>集計表!M59</f>
        <v>13</v>
      </c>
      <c r="L75" s="47" t="str">
        <f>集計表!N59</f>
        <v>15</v>
      </c>
      <c r="M75" s="47" t="str">
        <f>集計表!O59</f>
        <v>16</v>
      </c>
      <c r="N75" s="47" t="str">
        <f>集計表!P59</f>
        <v>18</v>
      </c>
      <c r="O75" s="47" t="str">
        <f>集計表!Q59</f>
        <v>19</v>
      </c>
      <c r="P75" s="47" t="str">
        <f>集計表!R59</f>
        <v>20</v>
      </c>
      <c r="Q75" s="47" t="str">
        <f>集計表!S59</f>
        <v>22</v>
      </c>
      <c r="R75" s="47" t="str">
        <f>集計表!T59</f>
        <v>23</v>
      </c>
      <c r="S75" s="47" t="str">
        <f>集計表!U59</f>
        <v>25</v>
      </c>
      <c r="T75" s="47" t="str">
        <f>集計表!V59</f>
        <v>26</v>
      </c>
      <c r="U75" s="47" t="str">
        <f>集計表!W59</f>
        <v>27</v>
      </c>
      <c r="V75" s="47" t="str">
        <f>集計表!X59</f>
        <v>29</v>
      </c>
      <c r="W75" s="47" t="str">
        <f>集計表!Y59</f>
        <v>30</v>
      </c>
      <c r="X75" s="47" t="str">
        <f>集計表!Z59</f>
        <v>7/2</v>
      </c>
      <c r="Y75" s="47" t="str">
        <f>集計表!AA59</f>
        <v>3</v>
      </c>
      <c r="Z75" s="47" t="str">
        <f>集計表!AB59</f>
        <v>4</v>
      </c>
      <c r="AA75" s="47" t="str">
        <f>集計表!AC59</f>
        <v>6</v>
      </c>
      <c r="AB75" s="47" t="str">
        <f>集計表!AD59</f>
        <v>7</v>
      </c>
      <c r="AC75" s="47" t="str">
        <f>集計表!AE59</f>
        <v>9</v>
      </c>
      <c r="AD75" s="47" t="str">
        <f>集計表!AF59</f>
        <v>10</v>
      </c>
      <c r="AE75" s="47" t="str">
        <f>集計表!AG59</f>
        <v>11</v>
      </c>
      <c r="AF75" s="47" t="str">
        <f>集計表!AH59</f>
        <v>13</v>
      </c>
      <c r="AG75" s="47" t="str">
        <f>集計表!AI59</f>
        <v>14</v>
      </c>
      <c r="AH75" s="47" t="str">
        <f>集計表!AJ59</f>
        <v>16</v>
      </c>
      <c r="AI75" s="47" t="str">
        <f>集計表!AK59</f>
        <v>17</v>
      </c>
      <c r="AJ75" s="47" t="str">
        <f>集計表!AL59</f>
        <v>18</v>
      </c>
      <c r="AK75" s="47" t="str">
        <f>集計表!AM59</f>
        <v>21</v>
      </c>
      <c r="AL75" s="47" t="str">
        <f>集計表!AN59</f>
        <v>23</v>
      </c>
      <c r="AM75" s="47" t="str">
        <f>集計表!AO59</f>
        <v>24</v>
      </c>
      <c r="AN75" s="47" t="str">
        <f>集計表!AP59</f>
        <v>25</v>
      </c>
      <c r="AO75" s="47" t="str">
        <f>集計表!AQ59</f>
        <v>27</v>
      </c>
      <c r="AP75" s="47" t="str">
        <f>集計表!AR59</f>
        <v>28</v>
      </c>
      <c r="AQ75" s="47" t="str">
        <f>集計表!AS59</f>
        <v>30</v>
      </c>
      <c r="AR75" s="47" t="str">
        <f>集計表!AT59</f>
        <v>31</v>
      </c>
    </row>
    <row r="76" spans="1:45" s="42" customFormat="1" x14ac:dyDescent="0.2">
      <c r="A76" s="49" t="s">
        <v>0</v>
      </c>
      <c r="B76" s="41">
        <f>IF(集計表!D61="","",集計表!D61)</f>
        <v>48.725000000000001</v>
      </c>
      <c r="C76" s="41">
        <f>IF(集計表!E61="","",集計表!E61)</f>
        <v>25.542999999999999</v>
      </c>
      <c r="D76" s="41">
        <f>IF(集計表!F61="","",集計表!F61)</f>
        <v>59.008000000000003</v>
      </c>
      <c r="E76" s="41">
        <f>IF(集計表!G61="","",集計表!G61)</f>
        <v>32.648000000000003</v>
      </c>
      <c r="F76" s="41">
        <f>IF(集計表!H61="","",集計表!H61)</f>
        <v>34.408999999999999</v>
      </c>
      <c r="G76" s="41">
        <f>IF(集計表!I61="","",集計表!I61)</f>
        <v>51.722999999999999</v>
      </c>
      <c r="H76" s="41">
        <f>IF(集計表!J61="","",集計表!J61)</f>
        <v>24.448</v>
      </c>
      <c r="I76" s="41">
        <f>IF(集計表!K61="","",集計表!K61)</f>
        <v>48.944000000000003</v>
      </c>
      <c r="J76" s="41">
        <f>IF(集計表!L61="","",集計表!L61)</f>
        <v>30.428000000000001</v>
      </c>
      <c r="K76" s="41">
        <f>IF(集計表!M61="","",集計表!M61)</f>
        <v>29.706</v>
      </c>
      <c r="L76" s="41">
        <f>IF(集計表!N61="","",集計表!N61)</f>
        <v>43.048999999999999</v>
      </c>
      <c r="M76" s="41">
        <f>IF(集計表!O61="","",集計表!O61)</f>
        <v>31.484999999999999</v>
      </c>
      <c r="N76" s="41">
        <f>IF(集計表!P61="","",集計表!P61)</f>
        <v>64.59</v>
      </c>
      <c r="O76" s="41">
        <f>IF(集計表!Q61="","",集計表!Q61)</f>
        <v>36.677</v>
      </c>
      <c r="P76" s="41">
        <f>IF(集計表!R61="","",集計表!R61)</f>
        <v>41.902000000000001</v>
      </c>
      <c r="Q76" s="41">
        <f>IF(集計表!S61="","",集計表!S61)</f>
        <v>66.248000000000005</v>
      </c>
      <c r="R76" s="41">
        <f>IF(集計表!T61="","",集計表!T61)</f>
        <v>34.828000000000003</v>
      </c>
      <c r="S76" s="41">
        <f>IF(集計表!U61="","",集計表!U61)</f>
        <v>51.164000000000001</v>
      </c>
      <c r="T76" s="41">
        <f>IF(集計表!V61="","",集計表!V61)</f>
        <v>25.716999999999999</v>
      </c>
      <c r="U76" s="41">
        <f>IF(集計表!W61="","",集計表!W61)</f>
        <v>33.006999999999998</v>
      </c>
      <c r="V76" s="41">
        <f>IF(集計表!X61="","",集計表!X61)</f>
        <v>41.999000000000002</v>
      </c>
      <c r="W76" s="41">
        <f>IF(集計表!Y61="","",集計表!Y61)</f>
        <v>26.791</v>
      </c>
      <c r="X76" s="41">
        <f>IF(集計表!Z61="","",集計表!Z61)</f>
        <v>51.726999999999997</v>
      </c>
      <c r="Y76" s="41">
        <f>IF(集計表!AA61="","",集計表!AA61)</f>
        <v>26.344000000000001</v>
      </c>
      <c r="Z76" s="41">
        <f>IF(集計表!AB61="","",集計表!AB61)</f>
        <v>30.265000000000001</v>
      </c>
      <c r="AA76" s="41">
        <f>IF(集計表!AC61="","",集計表!AC61)</f>
        <v>43.283000000000001</v>
      </c>
      <c r="AB76" s="41">
        <f>IF(集計表!AD61="","",集計表!AD61)</f>
        <v>24.472000000000001</v>
      </c>
      <c r="AC76" s="41" t="str">
        <f>IF(集計表!AE61="","",集計表!AE61)</f>
        <v/>
      </c>
      <c r="AD76" s="41" t="str">
        <f>IF(集計表!AF61="","",集計表!AF61)</f>
        <v/>
      </c>
      <c r="AE76" s="41" t="str">
        <f>IF(集計表!AG61="","",集計表!AG61)</f>
        <v/>
      </c>
      <c r="AF76" s="41" t="str">
        <f>IF(集計表!AH61="","",集計表!AH61)</f>
        <v/>
      </c>
      <c r="AG76" s="41" t="str">
        <f>IF(集計表!AI61="","",集計表!AI61)</f>
        <v/>
      </c>
      <c r="AH76" s="41" t="str">
        <f>IF(集計表!AJ61="","",集計表!AJ61)</f>
        <v/>
      </c>
      <c r="AI76" s="41" t="str">
        <f>IF(集計表!AK61="","",集計表!AK61)</f>
        <v/>
      </c>
      <c r="AJ76" s="41" t="str">
        <f>IF(集計表!AL61="","",集計表!AL61)</f>
        <v/>
      </c>
      <c r="AK76" s="41" t="str">
        <f>IF(集計表!AM61="","",集計表!AM61)</f>
        <v/>
      </c>
      <c r="AL76" s="41" t="str">
        <f>IF(集計表!AN61="","",集計表!AN61)</f>
        <v/>
      </c>
      <c r="AM76" s="41" t="str">
        <f>IF(集計表!AO61="","",集計表!AO61)</f>
        <v/>
      </c>
      <c r="AN76" s="41" t="str">
        <f>IF(集計表!AP61="","",集計表!AP61)</f>
        <v/>
      </c>
      <c r="AO76" s="41" t="str">
        <f>IF(集計表!AQ61="","",集計表!AQ61)</f>
        <v/>
      </c>
      <c r="AP76" s="41" t="str">
        <f>IF(集計表!AR61="","",集計表!AR61)</f>
        <v/>
      </c>
      <c r="AQ76" s="41" t="str">
        <f>IF(集計表!AS61="","",集計表!AS61)</f>
        <v/>
      </c>
      <c r="AR76" s="41" t="str">
        <f>IF(集計表!AT61="","",集計表!AT61)</f>
        <v/>
      </c>
    </row>
    <row r="77" spans="1:45" s="42" customFormat="1" x14ac:dyDescent="0.2">
      <c r="A77" s="49" t="s">
        <v>1</v>
      </c>
      <c r="B77" s="41">
        <f>IF(集計表!D62=0,NA(),集計表!D62)</f>
        <v>369</v>
      </c>
      <c r="C77" s="41">
        <f>IF(集計表!E62=0,NA(),集計表!E62)</f>
        <v>362</v>
      </c>
      <c r="D77" s="41">
        <f>IF(集計表!F62=0,NA(),集計表!F62)</f>
        <v>367</v>
      </c>
      <c r="E77" s="41">
        <f>IF(集計表!G62=0,NA(),集計表!G62)</f>
        <v>369</v>
      </c>
      <c r="F77" s="41">
        <f>IF(集計表!H62=0,NA(),集計表!H62)</f>
        <v>370</v>
      </c>
      <c r="G77" s="41">
        <f>IF(集計表!I62=0,NA(),集計表!I62)</f>
        <v>372</v>
      </c>
      <c r="H77" s="41">
        <f>IF(集計表!J62=0,NA(),集計表!J62)</f>
        <v>375</v>
      </c>
      <c r="I77" s="41">
        <f>IF(集計表!K62=0,NA(),集計表!K62)</f>
        <v>377</v>
      </c>
      <c r="J77" s="41">
        <f>IF(集計表!L62=0,NA(),集計表!L62)</f>
        <v>381</v>
      </c>
      <c r="K77" s="41">
        <f>IF(集計表!M62=0,NA(),集計表!M62)</f>
        <v>379</v>
      </c>
      <c r="L77" s="41">
        <f>IF(集計表!N62=0,NA(),集計表!N62)</f>
        <v>381</v>
      </c>
      <c r="M77" s="41">
        <f>IF(集計表!O62=0,NA(),集計表!O62)</f>
        <v>392</v>
      </c>
      <c r="N77" s="41">
        <f>IF(集計表!P62=0,NA(),集計表!P62)</f>
        <v>383</v>
      </c>
      <c r="O77" s="41">
        <f>IF(集計表!Q62=0,NA(),集計表!Q62)</f>
        <v>384</v>
      </c>
      <c r="P77" s="41">
        <f>IF(集計表!R62=0,NA(),集計表!R62)</f>
        <v>373</v>
      </c>
      <c r="Q77" s="41">
        <f>IF(集計表!S62=0,NA(),集計表!S62)</f>
        <v>367</v>
      </c>
      <c r="R77" s="41">
        <f>IF(集計表!T62=0,NA(),集計表!T62)</f>
        <v>364</v>
      </c>
      <c r="S77" s="41">
        <f>IF(集計表!U62=0,NA(),集計表!U62)</f>
        <v>361</v>
      </c>
      <c r="T77" s="41">
        <f>IF(集計表!V62=0,NA(),集計表!V62)</f>
        <v>365</v>
      </c>
      <c r="U77" s="41">
        <f>IF(集計表!W62=0,NA(),集計表!W62)</f>
        <v>361</v>
      </c>
      <c r="V77" s="41">
        <f>IF(集計表!X62=0,NA(),集計表!X62)</f>
        <v>369</v>
      </c>
      <c r="W77" s="41">
        <f>IF(集計表!Y62=0,NA(),集計表!Y62)</f>
        <v>360</v>
      </c>
      <c r="X77" s="41">
        <f>IF(集計表!Z62=0,NA(),集計表!Z62)</f>
        <v>354</v>
      </c>
      <c r="Y77" s="41">
        <f>IF(集計表!AA62=0,NA(),集計表!AA62)</f>
        <v>360</v>
      </c>
      <c r="Z77" s="41">
        <f>IF(集計表!AB62=0,NA(),集計表!AB62)</f>
        <v>372</v>
      </c>
      <c r="AA77" s="41">
        <f>IF(集計表!AC62=0,NA(),集計表!AC62)</f>
        <v>382</v>
      </c>
      <c r="AB77" s="41">
        <f>IF(集計表!AD62=0,NA(),集計表!AD62)</f>
        <v>396</v>
      </c>
      <c r="AC77" s="41" t="e">
        <f>IF(集計表!AE62=0,NA(),集計表!AE62)</f>
        <v>#N/A</v>
      </c>
      <c r="AD77" s="41" t="e">
        <f>IF(集計表!AF62=0,NA(),集計表!AF62)</f>
        <v>#N/A</v>
      </c>
      <c r="AE77" s="41" t="e">
        <f>IF(集計表!AG62=0,NA(),集計表!AG62)</f>
        <v>#N/A</v>
      </c>
      <c r="AF77" s="41" t="e">
        <f>IF(集計表!AH62=0,NA(),集計表!AH62)</f>
        <v>#N/A</v>
      </c>
      <c r="AG77" s="41" t="e">
        <f>IF(集計表!AI62=0,NA(),集計表!AI62)</f>
        <v>#N/A</v>
      </c>
      <c r="AH77" s="41" t="e">
        <f>IF(集計表!AJ62=0,NA(),集計表!AJ62)</f>
        <v>#N/A</v>
      </c>
      <c r="AI77" s="41" t="e">
        <f>IF(集計表!AK62=0,NA(),集計表!AK62)</f>
        <v>#N/A</v>
      </c>
      <c r="AJ77" s="41" t="e">
        <f>IF(集計表!AL62=0,NA(),集計表!AL62)</f>
        <v>#N/A</v>
      </c>
      <c r="AK77" s="41" t="e">
        <f>IF(集計表!AM62=0,NA(),集計表!AM62)</f>
        <v>#N/A</v>
      </c>
      <c r="AL77" s="41" t="e">
        <f>IF(集計表!AN62=0,NA(),集計表!AN62)</f>
        <v>#N/A</v>
      </c>
      <c r="AM77" s="41" t="e">
        <f>IF(集計表!AO62=0,NA(),集計表!AO62)</f>
        <v>#N/A</v>
      </c>
      <c r="AN77" s="41" t="e">
        <f>IF(集計表!AP62=0,NA(),集計表!AP62)</f>
        <v>#N/A</v>
      </c>
      <c r="AO77" s="41" t="e">
        <f>IF(集計表!AQ62=0,NA(),集計表!AQ62)</f>
        <v>#N/A</v>
      </c>
      <c r="AP77" s="41" t="e">
        <f>IF(集計表!AR62=0,NA(),集計表!AR62)</f>
        <v>#N/A</v>
      </c>
      <c r="AQ77" s="41" t="e">
        <f>IF(集計表!AS62=0,NA(),集計表!AS62)</f>
        <v>#N/A</v>
      </c>
      <c r="AR77" s="41" t="e">
        <f>IF(集計表!AT62=0,NA(),集計表!AT62)</f>
        <v>#N/A</v>
      </c>
    </row>
    <row r="78" spans="1:45" s="42" customFormat="1" x14ac:dyDescent="0.2">
      <c r="A78" s="49" t="s">
        <v>2</v>
      </c>
      <c r="B78" s="32">
        <f>集計表!D63</f>
        <v>360</v>
      </c>
      <c r="C78" s="32">
        <f>集計表!E63</f>
        <v>360</v>
      </c>
      <c r="D78" s="32">
        <f>集計表!F63</f>
        <v>360</v>
      </c>
      <c r="E78" s="32">
        <f>集計表!G63</f>
        <v>360</v>
      </c>
      <c r="F78" s="32">
        <f>集計表!H63</f>
        <v>360</v>
      </c>
      <c r="G78" s="32">
        <f>集計表!I63</f>
        <v>360</v>
      </c>
      <c r="H78" s="32">
        <f>集計表!J63</f>
        <v>360</v>
      </c>
      <c r="I78" s="32">
        <f>集計表!K63</f>
        <v>369</v>
      </c>
      <c r="J78" s="32">
        <f>集計表!L63</f>
        <v>369</v>
      </c>
      <c r="K78" s="32">
        <f>集計表!M63</f>
        <v>369</v>
      </c>
      <c r="L78" s="32">
        <f>集計表!N63</f>
        <v>369</v>
      </c>
      <c r="M78" s="32">
        <f>集計表!O63</f>
        <v>369</v>
      </c>
      <c r="N78" s="32">
        <f>集計表!P63</f>
        <v>369</v>
      </c>
      <c r="O78" s="32">
        <f>集計表!Q63</f>
        <v>369</v>
      </c>
      <c r="P78" s="32">
        <f>集計表!R63</f>
        <v>369</v>
      </c>
      <c r="Q78" s="32">
        <f>集計表!S63</f>
        <v>347</v>
      </c>
      <c r="R78" s="32">
        <f>集計表!T63</f>
        <v>347</v>
      </c>
      <c r="S78" s="32">
        <f>集計表!U63</f>
        <v>347</v>
      </c>
      <c r="T78" s="32">
        <f>集計表!V63</f>
        <v>347</v>
      </c>
      <c r="U78" s="32">
        <f>集計表!W63</f>
        <v>347</v>
      </c>
      <c r="V78" s="32">
        <f>集計表!X63</f>
        <v>347</v>
      </c>
      <c r="W78" s="32">
        <f>集計表!Y63</f>
        <v>347</v>
      </c>
      <c r="X78" s="32">
        <f>集計表!Z63</f>
        <v>312</v>
      </c>
      <c r="Y78" s="32">
        <f>集計表!AA63</f>
        <v>312</v>
      </c>
      <c r="Z78" s="32">
        <f>集計表!AB63</f>
        <v>312</v>
      </c>
      <c r="AA78" s="32">
        <f>集計表!AC63</f>
        <v>312</v>
      </c>
      <c r="AB78" s="32">
        <f>集計表!AD63</f>
        <v>312</v>
      </c>
      <c r="AC78" s="32">
        <f>集計表!AE63</f>
        <v>312</v>
      </c>
      <c r="AD78" s="32">
        <f>集計表!AF63</f>
        <v>312</v>
      </c>
      <c r="AE78" s="32">
        <f>集計表!AG63</f>
        <v>311</v>
      </c>
      <c r="AF78" s="32">
        <f>集計表!AH63</f>
        <v>311</v>
      </c>
      <c r="AG78" s="32">
        <f>集計表!AI63</f>
        <v>311</v>
      </c>
      <c r="AH78" s="32">
        <f>集計表!AJ63</f>
        <v>311</v>
      </c>
      <c r="AI78" s="32">
        <f>集計表!AK63</f>
        <v>311</v>
      </c>
      <c r="AJ78" s="32">
        <f>集計表!AL63</f>
        <v>311</v>
      </c>
      <c r="AK78" s="32">
        <f>集計表!AM63</f>
        <v>328</v>
      </c>
      <c r="AL78" s="32">
        <f>集計表!AN63</f>
        <v>328</v>
      </c>
      <c r="AM78" s="32">
        <f>集計表!AO63</f>
        <v>328</v>
      </c>
      <c r="AN78" s="32">
        <f>集計表!AP63</f>
        <v>328</v>
      </c>
      <c r="AO78" s="32">
        <f>集計表!AQ63</f>
        <v>328</v>
      </c>
      <c r="AP78" s="32">
        <f>集計表!AR63</f>
        <v>328</v>
      </c>
      <c r="AQ78" s="32">
        <f>集計表!AS63</f>
        <v>328</v>
      </c>
      <c r="AR78" s="32">
        <f>集計表!AT63</f>
        <v>328</v>
      </c>
    </row>
    <row r="79" spans="1:45" s="42" customFormat="1" ht="13.5" customHeight="1" x14ac:dyDescent="0.2">
      <c r="A79" s="50" t="s">
        <v>23</v>
      </c>
      <c r="B79" s="51">
        <f>IFERROR(B77/B78, "")</f>
        <v>1.0249999999999999</v>
      </c>
      <c r="C79" s="51">
        <f t="shared" ref="C79:AM79" si="4">IFERROR(C77/C78, "")</f>
        <v>1.0055555555555555</v>
      </c>
      <c r="D79" s="51">
        <f t="shared" si="4"/>
        <v>1.0194444444444444</v>
      </c>
      <c r="E79" s="51">
        <f t="shared" si="4"/>
        <v>1.0249999999999999</v>
      </c>
      <c r="F79" s="51">
        <f t="shared" si="4"/>
        <v>1.0277777777777777</v>
      </c>
      <c r="G79" s="51">
        <f t="shared" si="4"/>
        <v>1.0333333333333334</v>
      </c>
      <c r="H79" s="51">
        <f t="shared" si="4"/>
        <v>1.0416666666666667</v>
      </c>
      <c r="I79" s="51">
        <f t="shared" si="4"/>
        <v>1.0216802168021679</v>
      </c>
      <c r="J79" s="51">
        <f t="shared" si="4"/>
        <v>1.032520325203252</v>
      </c>
      <c r="K79" s="51">
        <f t="shared" si="4"/>
        <v>1.02710027100271</v>
      </c>
      <c r="L79" s="51">
        <f t="shared" si="4"/>
        <v>1.032520325203252</v>
      </c>
      <c r="M79" s="51">
        <f t="shared" si="4"/>
        <v>1.0623306233062331</v>
      </c>
      <c r="N79" s="51">
        <f t="shared" si="4"/>
        <v>1.037940379403794</v>
      </c>
      <c r="O79" s="51">
        <f t="shared" si="4"/>
        <v>1.0406504065040652</v>
      </c>
      <c r="P79" s="51">
        <f t="shared" si="4"/>
        <v>1.0108401084010841</v>
      </c>
      <c r="Q79" s="51">
        <f t="shared" si="4"/>
        <v>1.0576368876080691</v>
      </c>
      <c r="R79" s="51">
        <f t="shared" si="4"/>
        <v>1.0489913544668588</v>
      </c>
      <c r="S79" s="51">
        <f t="shared" si="4"/>
        <v>1.0403458213256485</v>
      </c>
      <c r="T79" s="51">
        <f t="shared" si="4"/>
        <v>1.0518731988472623</v>
      </c>
      <c r="U79" s="51">
        <f t="shared" si="4"/>
        <v>1.0403458213256485</v>
      </c>
      <c r="V79" s="51">
        <f t="shared" si="4"/>
        <v>1.0634005763688761</v>
      </c>
      <c r="W79" s="51">
        <f t="shared" si="4"/>
        <v>1.0374639769452449</v>
      </c>
      <c r="X79" s="51">
        <f t="shared" si="4"/>
        <v>1.1346153846153846</v>
      </c>
      <c r="Y79" s="51">
        <f t="shared" si="4"/>
        <v>1.1538461538461537</v>
      </c>
      <c r="Z79" s="51">
        <f t="shared" si="4"/>
        <v>1.1923076923076923</v>
      </c>
      <c r="AA79" s="51">
        <f t="shared" si="4"/>
        <v>1.2243589743589745</v>
      </c>
      <c r="AB79" s="51">
        <f t="shared" si="4"/>
        <v>1.2692307692307692</v>
      </c>
      <c r="AC79" s="51" t="str">
        <f t="shared" si="4"/>
        <v/>
      </c>
      <c r="AD79" s="51" t="str">
        <f t="shared" si="4"/>
        <v/>
      </c>
      <c r="AE79" s="51" t="str">
        <f t="shared" si="4"/>
        <v/>
      </c>
      <c r="AF79" s="51" t="str">
        <f t="shared" si="4"/>
        <v/>
      </c>
      <c r="AG79" s="51" t="str">
        <f t="shared" si="4"/>
        <v/>
      </c>
      <c r="AH79" s="51" t="str">
        <f t="shared" si="4"/>
        <v/>
      </c>
      <c r="AI79" s="51" t="str">
        <f t="shared" si="4"/>
        <v/>
      </c>
      <c r="AJ79" s="51" t="str">
        <f t="shared" si="4"/>
        <v/>
      </c>
      <c r="AK79" s="51" t="str">
        <f t="shared" si="4"/>
        <v/>
      </c>
      <c r="AL79" s="51" t="str">
        <f t="shared" si="4"/>
        <v/>
      </c>
      <c r="AM79" s="51" t="str">
        <f t="shared" si="4"/>
        <v/>
      </c>
      <c r="AN79" s="51" t="str">
        <f t="shared" ref="AN79:AO79" si="5">IFERROR(AN77/AN78, "")</f>
        <v/>
      </c>
      <c r="AO79" s="51" t="str">
        <f t="shared" si="5"/>
        <v/>
      </c>
      <c r="AP79" s="51" t="str">
        <f t="shared" ref="AP79:AQ79" si="6">IFERROR(AP77/AP78, "")</f>
        <v/>
      </c>
      <c r="AQ79" s="51" t="str">
        <f t="shared" si="6"/>
        <v/>
      </c>
      <c r="AR79" s="51" t="str">
        <f t="shared" ref="AR79" si="7">IFERROR(AR77/AR78, "")</f>
        <v/>
      </c>
    </row>
    <row r="80" spans="1:45" s="33" customFormat="1" ht="30" customHeight="1" x14ac:dyDescent="0.2">
      <c r="A80" s="33" t="s">
        <v>24</v>
      </c>
      <c r="B80" s="34"/>
      <c r="C80" s="34"/>
      <c r="D80" s="35"/>
      <c r="E80" s="34"/>
      <c r="F80" s="36"/>
      <c r="G80" s="34"/>
      <c r="H80" s="34"/>
      <c r="I80" s="34"/>
      <c r="J80" s="34"/>
      <c r="K80" s="37"/>
      <c r="L80" s="34"/>
      <c r="M80" s="37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Q80"/>
      <c r="AR80"/>
      <c r="AS80"/>
    </row>
    <row r="81" spans="1:14" ht="15.6" x14ac:dyDescent="0.2">
      <c r="A81" s="19" t="s">
        <v>14</v>
      </c>
      <c r="B81" s="10"/>
      <c r="C81" s="10"/>
      <c r="D81" s="10"/>
      <c r="E81" s="10"/>
      <c r="F81" s="10"/>
      <c r="G81" s="10"/>
      <c r="H81" s="10"/>
      <c r="I81" s="10"/>
      <c r="K81" s="10" t="str">
        <f>TEXT(集計表!$C$1,"(e.m/d～)")</f>
        <v>(8.6/1～)</v>
      </c>
      <c r="L81" s="10"/>
      <c r="N81" s="10"/>
    </row>
    <row r="82" spans="1:14" ht="15.6" x14ac:dyDescent="0.2">
      <c r="A82" s="19" t="s">
        <v>18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113" spans="1:44" ht="13.5" customHeight="1" x14ac:dyDescent="0.2"/>
    <row r="114" spans="1:44" s="39" customFormat="1" ht="16.2" customHeight="1" x14ac:dyDescent="0.2">
      <c r="B114" s="38"/>
      <c r="C114" s="38"/>
      <c r="D114" s="40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40"/>
      <c r="S114" s="38"/>
      <c r="T114" s="38"/>
      <c r="U114" s="38"/>
      <c r="V114" s="38"/>
      <c r="W114" s="38"/>
      <c r="X114" s="38"/>
      <c r="Y114" s="38"/>
      <c r="Z114" s="38"/>
      <c r="AA114" s="40"/>
      <c r="AB114" s="38"/>
      <c r="AC114" s="38"/>
      <c r="AD114" s="38"/>
      <c r="AE114" s="38"/>
      <c r="AF114" s="62"/>
      <c r="AG114" s="38"/>
      <c r="AH114" s="38"/>
      <c r="AI114" s="38"/>
      <c r="AJ114" s="44"/>
      <c r="AL114" s="38"/>
      <c r="AM114" s="38"/>
      <c r="AN114" s="44"/>
      <c r="AO114" s="38"/>
      <c r="AP114" s="38"/>
      <c r="AQ114" s="38"/>
      <c r="AR114" s="38"/>
    </row>
    <row r="115" spans="1:44" x14ac:dyDescent="0.2">
      <c r="A115" s="45">
        <f>集計表!C65</f>
        <v>46174</v>
      </c>
      <c r="B115" s="58" t="str">
        <f>集計表!D65</f>
        <v>6/1</v>
      </c>
      <c r="C115" s="47" t="str">
        <f>集計表!E65</f>
        <v>2</v>
      </c>
      <c r="D115" s="47" t="str">
        <f>集計表!F65</f>
        <v>4</v>
      </c>
      <c r="E115" s="47" t="str">
        <f>集計表!G65</f>
        <v>5</v>
      </c>
      <c r="F115" s="47" t="str">
        <f>集計表!H65</f>
        <v>6</v>
      </c>
      <c r="G115" s="47" t="str">
        <f>集計表!I65</f>
        <v>8</v>
      </c>
      <c r="H115" s="47" t="str">
        <f>集計表!J65</f>
        <v>9</v>
      </c>
      <c r="I115" s="47" t="str">
        <f>集計表!K65</f>
        <v>11</v>
      </c>
      <c r="J115" s="47" t="str">
        <f>集計表!L65</f>
        <v>12</v>
      </c>
      <c r="K115" s="47" t="str">
        <f>集計表!M65</f>
        <v>13</v>
      </c>
      <c r="L115" s="47" t="str">
        <f>集計表!N65</f>
        <v>15</v>
      </c>
      <c r="M115" s="47" t="str">
        <f>集計表!O65</f>
        <v>16</v>
      </c>
      <c r="N115" s="47" t="str">
        <f>集計表!P65</f>
        <v>18</v>
      </c>
      <c r="O115" s="47" t="str">
        <f>集計表!Q65</f>
        <v>19</v>
      </c>
      <c r="P115" s="47" t="str">
        <f>集計表!R65</f>
        <v>20</v>
      </c>
      <c r="Q115" s="47" t="str">
        <f>集計表!S65</f>
        <v>22</v>
      </c>
      <c r="R115" s="47" t="str">
        <f>集計表!T65</f>
        <v>23</v>
      </c>
      <c r="S115" s="47" t="str">
        <f>集計表!U65</f>
        <v>25</v>
      </c>
      <c r="T115" s="47" t="str">
        <f>集計表!V65</f>
        <v>26</v>
      </c>
      <c r="U115" s="47" t="str">
        <f>集計表!W65</f>
        <v>27</v>
      </c>
      <c r="V115" s="47" t="str">
        <f>集計表!X65</f>
        <v>29</v>
      </c>
      <c r="W115" s="47" t="str">
        <f>集計表!Y65</f>
        <v>30</v>
      </c>
      <c r="X115" s="47" t="str">
        <f>集計表!Z65</f>
        <v>7/2</v>
      </c>
      <c r="Y115" s="47" t="str">
        <f>集計表!AA65</f>
        <v>3</v>
      </c>
      <c r="Z115" s="47" t="str">
        <f>集計表!AB65</f>
        <v>4</v>
      </c>
      <c r="AA115" s="47" t="str">
        <f>集計表!AC65</f>
        <v>6</v>
      </c>
      <c r="AB115" s="47" t="str">
        <f>集計表!AD65</f>
        <v>7</v>
      </c>
      <c r="AC115" s="47" t="str">
        <f>集計表!AE65</f>
        <v>9</v>
      </c>
      <c r="AD115" s="47" t="str">
        <f>集計表!AF65</f>
        <v>10</v>
      </c>
      <c r="AE115" s="47" t="str">
        <f>集計表!AG65</f>
        <v>11</v>
      </c>
      <c r="AF115" s="47" t="str">
        <f>集計表!AH65</f>
        <v>13</v>
      </c>
      <c r="AG115" s="47" t="str">
        <f>集計表!AI65</f>
        <v>14</v>
      </c>
      <c r="AH115" s="47" t="str">
        <f>集計表!AJ65</f>
        <v>16</v>
      </c>
      <c r="AI115" s="47" t="str">
        <f>集計表!AK65</f>
        <v>17</v>
      </c>
      <c r="AJ115" s="47" t="str">
        <f>集計表!AL65</f>
        <v>18</v>
      </c>
      <c r="AK115" s="47" t="str">
        <f>集計表!AM65</f>
        <v>21</v>
      </c>
      <c r="AL115" s="47" t="str">
        <f>集計表!AN65</f>
        <v>23</v>
      </c>
      <c r="AM115" s="47" t="str">
        <f>集計表!AO65</f>
        <v>24</v>
      </c>
      <c r="AN115" s="47" t="str">
        <f>集計表!AP65</f>
        <v>25</v>
      </c>
      <c r="AO115" s="47" t="str">
        <f>集計表!AQ65</f>
        <v>27</v>
      </c>
      <c r="AP115" s="47" t="str">
        <f>集計表!AR65</f>
        <v>28</v>
      </c>
      <c r="AQ115" s="47" t="str">
        <f>集計表!AS65</f>
        <v>30</v>
      </c>
      <c r="AR115" s="47" t="str">
        <f>集計表!AT65</f>
        <v>31</v>
      </c>
    </row>
    <row r="116" spans="1:44" s="42" customFormat="1" x14ac:dyDescent="0.2">
      <c r="A116" s="49" t="s">
        <v>0</v>
      </c>
      <c r="B116" s="41">
        <f>IF(集計表!D67="","",集計表!D67)</f>
        <v>65.852000000000004</v>
      </c>
      <c r="C116" s="41">
        <f>IF(集計表!E67="","",集計表!E67)</f>
        <v>51.67</v>
      </c>
      <c r="D116" s="41">
        <f>IF(集計表!F67="","",集計表!F67)</f>
        <v>72.381</v>
      </c>
      <c r="E116" s="41">
        <f>IF(集計表!G67="","",集計表!G67)</f>
        <v>33.042999999999999</v>
      </c>
      <c r="F116" s="41">
        <f>IF(集計表!H67="","",集計表!H67)</f>
        <v>47.832000000000001</v>
      </c>
      <c r="G116" s="41">
        <f>IF(集計表!I67="","",集計表!I67)</f>
        <v>56.841000000000001</v>
      </c>
      <c r="H116" s="41">
        <f>IF(集計表!J67="","",集計表!J67)</f>
        <v>49.89</v>
      </c>
      <c r="I116" s="41">
        <f>IF(集計表!K67="","",集計表!K67)</f>
        <v>63.956000000000003</v>
      </c>
      <c r="J116" s="41">
        <f>IF(集計表!L67="","",集計表!L67)</f>
        <v>40.93</v>
      </c>
      <c r="K116" s="41">
        <f>IF(集計表!M67="","",集計表!M67)</f>
        <v>45.009</v>
      </c>
      <c r="L116" s="41">
        <f>IF(集計表!N67="","",集計表!N67)</f>
        <v>62.351999999999997</v>
      </c>
      <c r="M116" s="41">
        <f>IF(集計表!O67="","",集計表!O67)</f>
        <v>60.161000000000001</v>
      </c>
      <c r="N116" s="41">
        <f>IF(集計表!P67="","",集計表!P67)</f>
        <v>80.444999999999993</v>
      </c>
      <c r="O116" s="41">
        <f>IF(集計表!Q67="","",集計表!Q67)</f>
        <v>45.826999999999998</v>
      </c>
      <c r="P116" s="41">
        <f>IF(集計表!R67="","",集計表!R67)</f>
        <v>52.475999999999999</v>
      </c>
      <c r="Q116" s="41">
        <f>IF(集計表!S67="","",集計表!S67)</f>
        <v>72.528999999999996</v>
      </c>
      <c r="R116" s="41">
        <f>IF(集計表!T67="","",集計表!T67)</f>
        <v>58.854999999999997</v>
      </c>
      <c r="S116" s="41">
        <f>IF(集計表!U67="","",集計表!U67)</f>
        <v>80.921000000000006</v>
      </c>
      <c r="T116" s="41">
        <f>IF(集計表!V67="","",集計表!V67)</f>
        <v>40.783999999999999</v>
      </c>
      <c r="U116" s="41">
        <f>IF(集計表!W67="","",集計表!W67)</f>
        <v>46.902000000000001</v>
      </c>
      <c r="V116" s="41">
        <f>IF(集計表!X67="","",集計表!X67)</f>
        <v>42.963000000000001</v>
      </c>
      <c r="W116" s="41">
        <f>IF(集計表!Y67="","",集計表!Y67)</f>
        <v>43.911000000000001</v>
      </c>
      <c r="X116" s="41">
        <f>IF(集計表!Z67="","",集計表!Z67)</f>
        <v>64.665000000000006</v>
      </c>
      <c r="Y116" s="41">
        <f>IF(集計表!AA67="","",集計表!AA67)</f>
        <v>25.135999999999999</v>
      </c>
      <c r="Z116" s="41">
        <f>IF(集計表!AB67="","",集計表!AB67)</f>
        <v>38.472999999999999</v>
      </c>
      <c r="AA116" s="41">
        <f>IF(集計表!AC67="","",集計表!AC67)</f>
        <v>39.901000000000003</v>
      </c>
      <c r="AB116" s="41">
        <f>IF(集計表!AD67="","",集計表!AD67)</f>
        <v>34.106000000000002</v>
      </c>
      <c r="AC116" s="41" t="str">
        <f>IF(集計表!AE67="","",集計表!AE67)</f>
        <v/>
      </c>
      <c r="AD116" s="41" t="str">
        <f>IF(集計表!AF67="","",集計表!AF67)</f>
        <v/>
      </c>
      <c r="AE116" s="41" t="str">
        <f>IF(集計表!AG67="","",集計表!AG67)</f>
        <v/>
      </c>
      <c r="AF116" s="41" t="str">
        <f>IF(集計表!AH67="","",集計表!AH67)</f>
        <v/>
      </c>
      <c r="AG116" s="41" t="str">
        <f>IF(集計表!AI67="","",集計表!AI67)</f>
        <v/>
      </c>
      <c r="AH116" s="41" t="str">
        <f>IF(集計表!AJ67="","",集計表!AJ67)</f>
        <v/>
      </c>
      <c r="AI116" s="41" t="str">
        <f>IF(集計表!AK67="","",集計表!AK67)</f>
        <v/>
      </c>
      <c r="AJ116" s="41" t="str">
        <f>IF(集計表!AL67="","",集計表!AL67)</f>
        <v/>
      </c>
      <c r="AK116" s="41" t="str">
        <f>IF(集計表!AM67="","",集計表!AM67)</f>
        <v/>
      </c>
      <c r="AL116" s="41" t="str">
        <f>IF(集計表!AN67="","",集計表!AN67)</f>
        <v/>
      </c>
      <c r="AM116" s="41" t="str">
        <f>IF(集計表!AO67="","",集計表!AO67)</f>
        <v/>
      </c>
      <c r="AN116" s="41" t="str">
        <f>IF(集計表!AP67="","",集計表!AP67)</f>
        <v/>
      </c>
      <c r="AO116" s="41" t="str">
        <f>IF(集計表!AQ67="","",集計表!AQ67)</f>
        <v/>
      </c>
      <c r="AP116" s="41" t="str">
        <f>IF(集計表!AR67="","",集計表!AR67)</f>
        <v/>
      </c>
      <c r="AQ116" s="41" t="str">
        <f>IF(集計表!AS67="","",集計表!AS67)</f>
        <v/>
      </c>
      <c r="AR116" s="41" t="str">
        <f>IF(集計表!AT67="","",集計表!AT67)</f>
        <v/>
      </c>
    </row>
    <row r="117" spans="1:44" s="42" customFormat="1" x14ac:dyDescent="0.2">
      <c r="A117" s="49" t="s">
        <v>1</v>
      </c>
      <c r="B117" s="41">
        <f>IF(集計表!D68=0,NA(),集計表!D68)</f>
        <v>369</v>
      </c>
      <c r="C117" s="41">
        <f>IF(集計表!E68=0,NA(),集計表!E68)</f>
        <v>319</v>
      </c>
      <c r="D117" s="41">
        <f>IF(集計表!F68=0,NA(),集計表!F68)</f>
        <v>354</v>
      </c>
      <c r="E117" s="41">
        <f>IF(集計表!G68=0,NA(),集計表!G68)</f>
        <v>377</v>
      </c>
      <c r="F117" s="41">
        <f>IF(集計表!H68=0,NA(),集計表!H68)</f>
        <v>346</v>
      </c>
      <c r="G117" s="41">
        <f>IF(集計表!I68=0,NA(),集計表!I68)</f>
        <v>386</v>
      </c>
      <c r="H117" s="41">
        <f>IF(集計表!J68=0,NA(),集計表!J68)</f>
        <v>387</v>
      </c>
      <c r="I117" s="41">
        <f>IF(集計表!K68=0,NA(),集計表!K68)</f>
        <v>370</v>
      </c>
      <c r="J117" s="41">
        <f>IF(集計表!L68=0,NA(),集計表!L68)</f>
        <v>347</v>
      </c>
      <c r="K117" s="41">
        <f>IF(集計表!M68=0,NA(),集計表!M68)</f>
        <v>365</v>
      </c>
      <c r="L117" s="41">
        <f>IF(集計表!N68=0,NA(),集計表!N68)</f>
        <v>411</v>
      </c>
      <c r="M117" s="41">
        <f>IF(集計表!O68=0,NA(),集計表!O68)</f>
        <v>400</v>
      </c>
      <c r="N117" s="41">
        <f>IF(集計表!P68=0,NA(),集計表!P68)</f>
        <v>374</v>
      </c>
      <c r="O117" s="41">
        <f>IF(集計表!Q68=0,NA(),集計表!Q68)</f>
        <v>365</v>
      </c>
      <c r="P117" s="41">
        <f>IF(集計表!R68=0,NA(),集計表!R68)</f>
        <v>379</v>
      </c>
      <c r="Q117" s="41">
        <f>IF(集計表!S68=0,NA(),集計表!S68)</f>
        <v>355</v>
      </c>
      <c r="R117" s="41">
        <f>IF(集計表!T68=0,NA(),集計表!T68)</f>
        <v>376</v>
      </c>
      <c r="S117" s="41">
        <f>IF(集計表!U68=0,NA(),集計表!U68)</f>
        <v>365</v>
      </c>
      <c r="T117" s="41">
        <f>IF(集計表!V68=0,NA(),集計表!V68)</f>
        <v>370</v>
      </c>
      <c r="U117" s="41">
        <f>IF(集計表!W68=0,NA(),集計表!W68)</f>
        <v>355</v>
      </c>
      <c r="V117" s="41">
        <f>IF(集計表!X68=0,NA(),集計表!X68)</f>
        <v>378</v>
      </c>
      <c r="W117" s="41">
        <f>IF(集計表!Y68=0,NA(),集計表!Y68)</f>
        <v>372</v>
      </c>
      <c r="X117" s="41">
        <f>IF(集計表!Z68=0,NA(),集計表!Z68)</f>
        <v>359</v>
      </c>
      <c r="Y117" s="41">
        <f>IF(集計表!AA68=0,NA(),集計表!AA68)</f>
        <v>341</v>
      </c>
      <c r="Z117" s="41">
        <f>IF(集計表!AB68=0,NA(),集計表!AB68)</f>
        <v>346</v>
      </c>
      <c r="AA117" s="41">
        <f>IF(集計表!AC68=0,NA(),集計表!AC68)</f>
        <v>383</v>
      </c>
      <c r="AB117" s="41">
        <f>IF(集計表!AD68=0,NA(),集計表!AD68)</f>
        <v>403</v>
      </c>
      <c r="AC117" s="41" t="e">
        <f>IF(集計表!AE68=0,NA(),集計表!AE68)</f>
        <v>#N/A</v>
      </c>
      <c r="AD117" s="41" t="e">
        <f>IF(集計表!AF68=0,NA(),集計表!AF68)</f>
        <v>#N/A</v>
      </c>
      <c r="AE117" s="41" t="e">
        <f>IF(集計表!AG68=0,NA(),集計表!AG68)</f>
        <v>#N/A</v>
      </c>
      <c r="AF117" s="41" t="e">
        <f>IF(集計表!AH68=0,NA(),集計表!AH68)</f>
        <v>#N/A</v>
      </c>
      <c r="AG117" s="41" t="e">
        <f>IF(集計表!AI68=0,NA(),集計表!AI68)</f>
        <v>#N/A</v>
      </c>
      <c r="AH117" s="41" t="e">
        <f>IF(集計表!AJ68=0,NA(),集計表!AJ68)</f>
        <v>#N/A</v>
      </c>
      <c r="AI117" s="41" t="e">
        <f>IF(集計表!AK68=0,NA(),集計表!AK68)</f>
        <v>#N/A</v>
      </c>
      <c r="AJ117" s="41" t="e">
        <f>IF(集計表!AL68=0,NA(),集計表!AL68)</f>
        <v>#N/A</v>
      </c>
      <c r="AK117" s="41" t="e">
        <f>IF(集計表!AM68=0,NA(),集計表!AM68)</f>
        <v>#N/A</v>
      </c>
      <c r="AL117" s="41" t="e">
        <f>IF(集計表!AN68=0,NA(),集計表!AN68)</f>
        <v>#N/A</v>
      </c>
      <c r="AM117" s="41" t="e">
        <f>IF(集計表!AO68=0,NA(),集計表!AO68)</f>
        <v>#N/A</v>
      </c>
      <c r="AN117" s="41" t="e">
        <f>IF(集計表!AP68=0,NA(),集計表!AP68)</f>
        <v>#N/A</v>
      </c>
      <c r="AO117" s="41" t="e">
        <f>IF(集計表!AQ68=0,NA(),集計表!AQ68)</f>
        <v>#N/A</v>
      </c>
      <c r="AP117" s="41" t="e">
        <f>IF(集計表!AR68=0,NA(),集計表!AR68)</f>
        <v>#N/A</v>
      </c>
      <c r="AQ117" s="41" t="e">
        <f>IF(集計表!AS68=0,NA(),集計表!AS68)</f>
        <v>#N/A</v>
      </c>
      <c r="AR117" s="41" t="e">
        <f>IF(集計表!AT68=0,NA(),集計表!AT68)</f>
        <v>#N/A</v>
      </c>
    </row>
    <row r="118" spans="1:44" s="42" customFormat="1" x14ac:dyDescent="0.2">
      <c r="A118" s="49" t="s">
        <v>2</v>
      </c>
      <c r="B118" s="32">
        <f>集計表!D69</f>
        <v>366</v>
      </c>
      <c r="C118" s="32">
        <f>集計表!E69</f>
        <v>366</v>
      </c>
      <c r="D118" s="32">
        <f>集計表!F69</f>
        <v>366</v>
      </c>
      <c r="E118" s="32">
        <f>集計表!G69</f>
        <v>366</v>
      </c>
      <c r="F118" s="32">
        <f>集計表!H69</f>
        <v>366</v>
      </c>
      <c r="G118" s="32">
        <f>集計表!I69</f>
        <v>366</v>
      </c>
      <c r="H118" s="32">
        <f>集計表!J69</f>
        <v>366</v>
      </c>
      <c r="I118" s="32">
        <f>集計表!K69</f>
        <v>359</v>
      </c>
      <c r="J118" s="32">
        <f>集計表!L69</f>
        <v>359</v>
      </c>
      <c r="K118" s="32">
        <f>集計表!M69</f>
        <v>359</v>
      </c>
      <c r="L118" s="32">
        <f>集計表!N69</f>
        <v>359</v>
      </c>
      <c r="M118" s="32">
        <f>集計表!O69</f>
        <v>359</v>
      </c>
      <c r="N118" s="32">
        <f>集計表!P69</f>
        <v>359</v>
      </c>
      <c r="O118" s="32">
        <f>集計表!Q69</f>
        <v>359</v>
      </c>
      <c r="P118" s="32">
        <f>集計表!R69</f>
        <v>359</v>
      </c>
      <c r="Q118" s="32">
        <f>集計表!S69</f>
        <v>327</v>
      </c>
      <c r="R118" s="32">
        <f>集計表!T69</f>
        <v>327</v>
      </c>
      <c r="S118" s="32">
        <f>集計表!U69</f>
        <v>327</v>
      </c>
      <c r="T118" s="32">
        <f>集計表!V69</f>
        <v>327</v>
      </c>
      <c r="U118" s="32">
        <f>集計表!W69</f>
        <v>327</v>
      </c>
      <c r="V118" s="32">
        <f>集計表!X69</f>
        <v>327</v>
      </c>
      <c r="W118" s="32">
        <f>集計表!Y69</f>
        <v>327</v>
      </c>
      <c r="X118" s="32">
        <f>集計表!Z69</f>
        <v>297</v>
      </c>
      <c r="Y118" s="32">
        <f>集計表!AA69</f>
        <v>297</v>
      </c>
      <c r="Z118" s="32">
        <f>集計表!AB69</f>
        <v>297</v>
      </c>
      <c r="AA118" s="32">
        <f>集計表!AC69</f>
        <v>297</v>
      </c>
      <c r="AB118" s="32">
        <f>集計表!AD69</f>
        <v>297</v>
      </c>
      <c r="AC118" s="32">
        <f>集計表!AE69</f>
        <v>297</v>
      </c>
      <c r="AD118" s="32">
        <f>集計表!AF69</f>
        <v>297</v>
      </c>
      <c r="AE118" s="32">
        <f>集計表!AG69</f>
        <v>319</v>
      </c>
      <c r="AF118" s="32">
        <f>集計表!AH69</f>
        <v>319</v>
      </c>
      <c r="AG118" s="32">
        <f>集計表!AI69</f>
        <v>319</v>
      </c>
      <c r="AH118" s="32">
        <f>集計表!AJ69</f>
        <v>319</v>
      </c>
      <c r="AI118" s="32">
        <f>集計表!AK69</f>
        <v>319</v>
      </c>
      <c r="AJ118" s="32">
        <f>集計表!AL69</f>
        <v>319</v>
      </c>
      <c r="AK118" s="32">
        <f>集計表!AM69</f>
        <v>332</v>
      </c>
      <c r="AL118" s="32">
        <f>集計表!AN69</f>
        <v>332</v>
      </c>
      <c r="AM118" s="32">
        <f>集計表!AO69</f>
        <v>332</v>
      </c>
      <c r="AN118" s="32">
        <f>集計表!AP69</f>
        <v>332</v>
      </c>
      <c r="AO118" s="32">
        <f>集計表!AQ69</f>
        <v>332</v>
      </c>
      <c r="AP118" s="32">
        <f>集計表!AR69</f>
        <v>332</v>
      </c>
      <c r="AQ118" s="32">
        <f>集計表!AS69</f>
        <v>332</v>
      </c>
      <c r="AR118" s="32">
        <f>集計表!AT69</f>
        <v>332</v>
      </c>
    </row>
    <row r="119" spans="1:44" s="42" customFormat="1" ht="13.5" customHeight="1" x14ac:dyDescent="0.2">
      <c r="A119" s="50" t="s">
        <v>23</v>
      </c>
      <c r="B119" s="51">
        <f>IFERROR(B117/B118, "")</f>
        <v>1.0081967213114753</v>
      </c>
      <c r="C119" s="51">
        <f t="shared" ref="C119:AM119" si="8">IFERROR(C117/C118, "")</f>
        <v>0.87158469945355188</v>
      </c>
      <c r="D119" s="51">
        <f t="shared" si="8"/>
        <v>0.96721311475409832</v>
      </c>
      <c r="E119" s="51">
        <f t="shared" si="8"/>
        <v>1.0300546448087431</v>
      </c>
      <c r="F119" s="51">
        <f t="shared" si="8"/>
        <v>0.94535519125683065</v>
      </c>
      <c r="G119" s="51">
        <f t="shared" si="8"/>
        <v>1.0546448087431695</v>
      </c>
      <c r="H119" s="51">
        <f t="shared" si="8"/>
        <v>1.0573770491803278</v>
      </c>
      <c r="I119" s="51">
        <f t="shared" si="8"/>
        <v>1.0306406685236769</v>
      </c>
      <c r="J119" s="51">
        <f t="shared" si="8"/>
        <v>0.96657381615598881</v>
      </c>
      <c r="K119" s="51">
        <f t="shared" si="8"/>
        <v>1.0167130919220055</v>
      </c>
      <c r="L119" s="51">
        <f t="shared" si="8"/>
        <v>1.1448467966573816</v>
      </c>
      <c r="M119" s="51">
        <f t="shared" si="8"/>
        <v>1.1142061281337048</v>
      </c>
      <c r="N119" s="51">
        <f t="shared" si="8"/>
        <v>1.041782729805014</v>
      </c>
      <c r="O119" s="51">
        <f t="shared" si="8"/>
        <v>1.0167130919220055</v>
      </c>
      <c r="P119" s="51">
        <f t="shared" si="8"/>
        <v>1.0557103064066853</v>
      </c>
      <c r="Q119" s="51">
        <f t="shared" si="8"/>
        <v>1.0856269113149848</v>
      </c>
      <c r="R119" s="51">
        <f t="shared" si="8"/>
        <v>1.1498470948012232</v>
      </c>
      <c r="S119" s="51">
        <f t="shared" si="8"/>
        <v>1.1162079510703364</v>
      </c>
      <c r="T119" s="51">
        <f t="shared" si="8"/>
        <v>1.1314984709480123</v>
      </c>
      <c r="U119" s="51">
        <f t="shared" si="8"/>
        <v>1.0856269113149848</v>
      </c>
      <c r="V119" s="51">
        <f t="shared" si="8"/>
        <v>1.1559633027522935</v>
      </c>
      <c r="W119" s="51">
        <f t="shared" si="8"/>
        <v>1.1376146788990826</v>
      </c>
      <c r="X119" s="51">
        <f t="shared" si="8"/>
        <v>1.2087542087542087</v>
      </c>
      <c r="Y119" s="51">
        <f t="shared" si="8"/>
        <v>1.1481481481481481</v>
      </c>
      <c r="Z119" s="51">
        <f t="shared" si="8"/>
        <v>1.164983164983165</v>
      </c>
      <c r="AA119" s="51">
        <f t="shared" si="8"/>
        <v>1.2895622895622896</v>
      </c>
      <c r="AB119" s="51">
        <f t="shared" si="8"/>
        <v>1.3569023569023568</v>
      </c>
      <c r="AC119" s="51" t="str">
        <f t="shared" si="8"/>
        <v/>
      </c>
      <c r="AD119" s="51" t="str">
        <f t="shared" si="8"/>
        <v/>
      </c>
      <c r="AE119" s="51" t="str">
        <f t="shared" si="8"/>
        <v/>
      </c>
      <c r="AF119" s="51" t="str">
        <f t="shared" si="8"/>
        <v/>
      </c>
      <c r="AG119" s="51" t="str">
        <f t="shared" si="8"/>
        <v/>
      </c>
      <c r="AH119" s="51" t="str">
        <f t="shared" si="8"/>
        <v/>
      </c>
      <c r="AI119" s="51" t="str">
        <f t="shared" si="8"/>
        <v/>
      </c>
      <c r="AJ119" s="51" t="str">
        <f t="shared" si="8"/>
        <v/>
      </c>
      <c r="AK119" s="51" t="str">
        <f t="shared" si="8"/>
        <v/>
      </c>
      <c r="AL119" s="51" t="str">
        <f t="shared" si="8"/>
        <v/>
      </c>
      <c r="AM119" s="51" t="str">
        <f t="shared" si="8"/>
        <v/>
      </c>
      <c r="AN119" s="51" t="str">
        <f t="shared" ref="AN119:AO119" si="9">IFERROR(AN117/AN118, "")</f>
        <v/>
      </c>
      <c r="AO119" s="51" t="str">
        <f t="shared" si="9"/>
        <v/>
      </c>
      <c r="AP119" s="51" t="str">
        <f t="shared" ref="AP119:AQ119" si="10">IFERROR(AP117/AP118, "")</f>
        <v/>
      </c>
      <c r="AQ119" s="51" t="str">
        <f t="shared" si="10"/>
        <v/>
      </c>
      <c r="AR119" s="51" t="str">
        <f t="shared" ref="AR119" si="11">IFERROR(AR117/AR118, "")</f>
        <v/>
      </c>
    </row>
    <row r="120" spans="1:44" s="33" customFormat="1" ht="30" customHeight="1" x14ac:dyDescent="0.2">
      <c r="A120" s="33" t="s">
        <v>24</v>
      </c>
      <c r="B120" s="34"/>
      <c r="C120" s="34"/>
      <c r="D120" s="35"/>
      <c r="E120" s="34"/>
      <c r="F120" s="36"/>
      <c r="G120" s="34"/>
      <c r="H120" s="34"/>
      <c r="I120" s="34"/>
      <c r="J120" s="34"/>
      <c r="K120" s="37"/>
      <c r="L120" s="34"/>
      <c r="M120" s="3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spans="1:44" ht="15.6" x14ac:dyDescent="0.2">
      <c r="A121" s="19" t="s">
        <v>14</v>
      </c>
      <c r="B121" s="10"/>
      <c r="C121" s="10"/>
      <c r="D121" s="10"/>
      <c r="E121" s="10"/>
      <c r="F121" s="10"/>
      <c r="G121" s="10"/>
      <c r="H121" s="10"/>
      <c r="I121" s="10"/>
      <c r="K121" s="10" t="str">
        <f>TEXT(集計表!$C$1,"(e.m/d～)")</f>
        <v>(8.6/1～)</v>
      </c>
      <c r="L121" s="10"/>
      <c r="N121" s="10"/>
    </row>
    <row r="122" spans="1:44" ht="15.6" x14ac:dyDescent="0.2">
      <c r="A122" s="19" t="s">
        <v>19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53" spans="1:45" ht="13.5" customHeight="1" x14ac:dyDescent="0.2"/>
    <row r="154" spans="1:45" s="39" customFormat="1" ht="15.9" customHeight="1" x14ac:dyDescent="0.2">
      <c r="B154" s="38"/>
      <c r="C154" s="38"/>
      <c r="E154" s="38"/>
      <c r="F154" s="40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X154" s="38"/>
      <c r="Y154" s="38"/>
      <c r="Z154" s="38"/>
      <c r="AA154" s="40"/>
      <c r="AC154" s="38"/>
      <c r="AD154" s="38"/>
      <c r="AE154" s="38"/>
      <c r="AF154" s="38"/>
      <c r="AG154" s="38"/>
      <c r="AH154" s="38"/>
      <c r="AI154" s="38"/>
      <c r="AJ154" s="44"/>
      <c r="AK154" s="38"/>
      <c r="AN154" s="44"/>
      <c r="AO154" s="38"/>
      <c r="AP154" s="38"/>
      <c r="AR154" s="40"/>
    </row>
    <row r="155" spans="1:45" x14ac:dyDescent="0.2">
      <c r="A155" s="45">
        <f>集計表!C71</f>
        <v>46174</v>
      </c>
      <c r="B155" s="58" t="str">
        <f>集計表!D71</f>
        <v>6/1</v>
      </c>
      <c r="C155" s="59" t="str">
        <f>集計表!E71</f>
        <v>2</v>
      </c>
      <c r="D155" s="59" t="str">
        <f>集計表!F71</f>
        <v>4</v>
      </c>
      <c r="E155" s="59" t="str">
        <f>集計表!G71</f>
        <v>5</v>
      </c>
      <c r="F155" s="59" t="str">
        <f>集計表!H71</f>
        <v>6</v>
      </c>
      <c r="G155" s="59" t="str">
        <f>集計表!I71</f>
        <v>8</v>
      </c>
      <c r="H155" s="59" t="str">
        <f>集計表!J71</f>
        <v>9</v>
      </c>
      <c r="I155" s="59" t="str">
        <f>集計表!K71</f>
        <v>11</v>
      </c>
      <c r="J155" s="59" t="str">
        <f>集計表!L71</f>
        <v>12</v>
      </c>
      <c r="K155" s="59" t="str">
        <f>集計表!M71</f>
        <v>13</v>
      </c>
      <c r="L155" s="59" t="str">
        <f>集計表!N71</f>
        <v>15</v>
      </c>
      <c r="M155" s="59" t="str">
        <f>集計表!O71</f>
        <v>16</v>
      </c>
      <c r="N155" s="59" t="str">
        <f>集計表!P71</f>
        <v>18</v>
      </c>
      <c r="O155" s="59" t="str">
        <f>集計表!Q71</f>
        <v>19</v>
      </c>
      <c r="P155" s="59" t="str">
        <f>集計表!R71</f>
        <v>20</v>
      </c>
      <c r="Q155" s="59" t="str">
        <f>集計表!S71</f>
        <v>22</v>
      </c>
      <c r="R155" s="59" t="str">
        <f>集計表!T71</f>
        <v>23</v>
      </c>
      <c r="S155" s="59" t="str">
        <f>集計表!U71</f>
        <v>25</v>
      </c>
      <c r="T155" s="59" t="str">
        <f>集計表!V71</f>
        <v>26</v>
      </c>
      <c r="U155" s="59" t="str">
        <f>集計表!W71</f>
        <v>27</v>
      </c>
      <c r="V155" s="59" t="str">
        <f>集計表!X71</f>
        <v>29</v>
      </c>
      <c r="W155" s="59" t="str">
        <f>集計表!Y71</f>
        <v>30</v>
      </c>
      <c r="X155" s="59" t="str">
        <f>集計表!Z71</f>
        <v>7/2</v>
      </c>
      <c r="Y155" s="59" t="str">
        <f>集計表!AA71</f>
        <v>3</v>
      </c>
      <c r="Z155" s="59" t="str">
        <f>集計表!AB71</f>
        <v>4</v>
      </c>
      <c r="AA155" s="59" t="str">
        <f>集計表!AC71</f>
        <v>6</v>
      </c>
      <c r="AB155" s="59" t="str">
        <f>集計表!AD71</f>
        <v>7</v>
      </c>
      <c r="AC155" s="59" t="str">
        <f>集計表!AE71</f>
        <v>9</v>
      </c>
      <c r="AD155" s="59" t="str">
        <f>集計表!AF71</f>
        <v>10</v>
      </c>
      <c r="AE155" s="59" t="str">
        <f>集計表!AG71</f>
        <v>11</v>
      </c>
      <c r="AF155" s="59" t="str">
        <f>集計表!AH71</f>
        <v>13</v>
      </c>
      <c r="AG155" s="59" t="str">
        <f>集計表!AI71</f>
        <v>14</v>
      </c>
      <c r="AH155" s="59" t="str">
        <f>集計表!AJ71</f>
        <v>16</v>
      </c>
      <c r="AI155" s="59" t="str">
        <f>集計表!AK71</f>
        <v>17</v>
      </c>
      <c r="AJ155" s="59" t="str">
        <f>集計表!AL71</f>
        <v>18</v>
      </c>
      <c r="AK155" s="59" t="str">
        <f>集計表!AM71</f>
        <v>21</v>
      </c>
      <c r="AL155" s="59" t="str">
        <f>集計表!AN71</f>
        <v>23</v>
      </c>
      <c r="AM155" s="59" t="str">
        <f>集計表!AO71</f>
        <v>24</v>
      </c>
      <c r="AN155" s="59" t="str">
        <f>集計表!AP71</f>
        <v>25</v>
      </c>
      <c r="AO155" s="59" t="str">
        <f>集計表!AQ71</f>
        <v>27</v>
      </c>
      <c r="AP155" s="59" t="str">
        <f>集計表!AR71</f>
        <v>28</v>
      </c>
      <c r="AQ155" s="59" t="str">
        <f>集計表!AS71</f>
        <v>30</v>
      </c>
      <c r="AR155" s="59" t="str">
        <f>集計表!AT71</f>
        <v>31</v>
      </c>
    </row>
    <row r="156" spans="1:45" s="42" customFormat="1" x14ac:dyDescent="0.2">
      <c r="A156" s="49" t="s">
        <v>0</v>
      </c>
      <c r="B156" s="32">
        <f>IF(集計表!D73="","",集計表!D73)</f>
        <v>24.914000000000001</v>
      </c>
      <c r="C156" s="32">
        <f>IF(集計表!E73="","",集計表!E73)</f>
        <v>29.204999999999998</v>
      </c>
      <c r="D156" s="32">
        <f>IF(集計表!F73="","",集計表!F73)</f>
        <v>37.067999999999998</v>
      </c>
      <c r="E156" s="32">
        <f>IF(集計表!G73="","",集計表!G73)</f>
        <v>18.451000000000001</v>
      </c>
      <c r="F156" s="32">
        <f>IF(集計表!H73="","",集計表!H73)</f>
        <v>27.094999999999999</v>
      </c>
      <c r="G156" s="32">
        <f>IF(集計表!I73="","",集計表!I73)</f>
        <v>25.073</v>
      </c>
      <c r="H156" s="32">
        <f>IF(集計表!J73="","",集計表!J73)</f>
        <v>28.498999999999999</v>
      </c>
      <c r="I156" s="32">
        <f>IF(集計表!K73="","",集計表!K73)</f>
        <v>35.192999999999998</v>
      </c>
      <c r="J156" s="32">
        <f>IF(集計表!L73="","",集計表!L73)</f>
        <v>21.905000000000001</v>
      </c>
      <c r="K156" s="32">
        <f>IF(集計表!M73="","",集計表!M73)</f>
        <v>23.108000000000001</v>
      </c>
      <c r="L156" s="32">
        <f>IF(集計表!N73="","",集計表!N73)</f>
        <v>33.557000000000002</v>
      </c>
      <c r="M156" s="32">
        <f>IF(集計表!O73="","",集計表!O73)</f>
        <v>37.207999999999998</v>
      </c>
      <c r="N156" s="32">
        <f>IF(集計表!P73="","",集計表!P73)</f>
        <v>49.01</v>
      </c>
      <c r="O156" s="32">
        <f>IF(集計表!Q73="","",集計表!Q73)</f>
        <v>39.106999999999999</v>
      </c>
      <c r="P156" s="32">
        <f>IF(集計表!R73="","",集計表!R73)</f>
        <v>38.143999999999998</v>
      </c>
      <c r="Q156" s="32">
        <f>IF(集計表!S73="","",集計表!S73)</f>
        <v>47.606999999999999</v>
      </c>
      <c r="R156" s="32">
        <f>IF(集計表!T73="","",集計表!T73)</f>
        <v>39.451000000000001</v>
      </c>
      <c r="S156" s="32">
        <f>IF(集計表!U73="","",集計表!U73)</f>
        <v>33.936</v>
      </c>
      <c r="T156" s="32">
        <f>IF(集計表!V73="","",集計表!V73)</f>
        <v>16.474</v>
      </c>
      <c r="U156" s="32">
        <f>IF(集計表!W73="","",集計表!W73)</f>
        <v>19.765000000000001</v>
      </c>
      <c r="V156" s="32">
        <f>IF(集計表!X73="","",集計表!X73)</f>
        <v>23.841999999999999</v>
      </c>
      <c r="W156" s="32">
        <f>IF(集計表!Y73="","",集計表!Y73)</f>
        <v>22.048999999999999</v>
      </c>
      <c r="X156" s="32">
        <f>IF(集計表!Z73="","",集計表!Z73)</f>
        <v>31.318999999999999</v>
      </c>
      <c r="Y156" s="32">
        <f>IF(集計表!AA73="","",集計表!AA73)</f>
        <v>25.501000000000001</v>
      </c>
      <c r="Z156" s="32">
        <f>IF(集計表!AB73="","",集計表!AB73)</f>
        <v>27.213999999999999</v>
      </c>
      <c r="AA156" s="32">
        <f>IF(集計表!AC73="","",集計表!AC73)</f>
        <v>32.76</v>
      </c>
      <c r="AB156" s="32">
        <f>IF(集計表!AD73="","",集計表!AD73)</f>
        <v>23.523</v>
      </c>
      <c r="AC156" s="32" t="str">
        <f>IF(集計表!AE73="","",集計表!AE73)</f>
        <v/>
      </c>
      <c r="AD156" s="32" t="str">
        <f>IF(集計表!AF73="","",集計表!AF73)</f>
        <v/>
      </c>
      <c r="AE156" s="32" t="str">
        <f>IF(集計表!AG73="","",集計表!AG73)</f>
        <v/>
      </c>
      <c r="AF156" s="32" t="str">
        <f>IF(集計表!AH73="","",集計表!AH73)</f>
        <v/>
      </c>
      <c r="AG156" s="32" t="str">
        <f>IF(集計表!AI73="","",集計表!AI73)</f>
        <v/>
      </c>
      <c r="AH156" s="32" t="str">
        <f>IF(集計表!AJ73="","",集計表!AJ73)</f>
        <v/>
      </c>
      <c r="AI156" s="32" t="str">
        <f>IF(集計表!AK73="","",集計表!AK73)</f>
        <v/>
      </c>
      <c r="AJ156" s="32" t="str">
        <f>IF(集計表!AL73="","",集計表!AL73)</f>
        <v/>
      </c>
      <c r="AK156" s="32" t="str">
        <f>IF(集計表!AM73="","",集計表!AM73)</f>
        <v/>
      </c>
      <c r="AL156" s="32" t="str">
        <f>IF(集計表!AN73="","",集計表!AN73)</f>
        <v/>
      </c>
      <c r="AM156" s="32" t="str">
        <f>IF(集計表!AO73="","",集計表!AO73)</f>
        <v/>
      </c>
      <c r="AN156" s="32" t="str">
        <f>IF(集計表!AP73="","",集計表!AP73)</f>
        <v/>
      </c>
      <c r="AO156" s="32" t="str">
        <f>IF(集計表!AQ73="","",集計表!AQ73)</f>
        <v/>
      </c>
      <c r="AP156" s="32" t="str">
        <f>IF(集計表!AR73="","",集計表!AR73)</f>
        <v/>
      </c>
      <c r="AQ156" s="32" t="str">
        <f>IF(集計表!AS73="","",集計表!AS73)</f>
        <v/>
      </c>
      <c r="AR156" s="32" t="str">
        <f>IF(集計表!AT73="","",集計表!AT73)</f>
        <v/>
      </c>
    </row>
    <row r="157" spans="1:45" s="42" customFormat="1" x14ac:dyDescent="0.2">
      <c r="A157" s="49" t="s">
        <v>1</v>
      </c>
      <c r="B157" s="32">
        <f>IF(集計表!D74=0,NA(),集計表!D74)</f>
        <v>375</v>
      </c>
      <c r="C157" s="32">
        <f>IF(集計表!E74=0,NA(),集計表!E74)</f>
        <v>380</v>
      </c>
      <c r="D157" s="32">
        <f>IF(集計表!F74=0,NA(),集計表!F74)</f>
        <v>373</v>
      </c>
      <c r="E157" s="32">
        <f>IF(集計表!G74=0,NA(),集計表!G74)</f>
        <v>363</v>
      </c>
      <c r="F157" s="32">
        <f>IF(集計表!H74=0,NA(),集計表!H74)</f>
        <v>372</v>
      </c>
      <c r="G157" s="32">
        <f>IF(集計表!I74=0,NA(),集計表!I74)</f>
        <v>372</v>
      </c>
      <c r="H157" s="32">
        <f>IF(集計表!J74=0,NA(),集計表!J74)</f>
        <v>382</v>
      </c>
      <c r="I157" s="32">
        <f>IF(集計表!K74=0,NA(),集計表!K74)</f>
        <v>342</v>
      </c>
      <c r="J157" s="32">
        <f>IF(集計表!L74=0,NA(),集計表!L74)</f>
        <v>353</v>
      </c>
      <c r="K157" s="32">
        <f>IF(集計表!M74=0,NA(),集計表!M74)</f>
        <v>370</v>
      </c>
      <c r="L157" s="32">
        <f>IF(集計表!N74=0,NA(),集計表!N74)</f>
        <v>382</v>
      </c>
      <c r="M157" s="32">
        <f>IF(集計表!O74=0,NA(),集計表!O74)</f>
        <v>386</v>
      </c>
      <c r="N157" s="32">
        <f>IF(集計表!P74=0,NA(),集計表!P74)</f>
        <v>340</v>
      </c>
      <c r="O157" s="32">
        <f>IF(集計表!Q74=0,NA(),集計表!Q74)</f>
        <v>356</v>
      </c>
      <c r="P157" s="32">
        <f>IF(集計表!R74=0,NA(),集計表!R74)</f>
        <v>315</v>
      </c>
      <c r="Q157" s="32">
        <f>IF(集計表!S74=0,NA(),集計表!S74)</f>
        <v>308</v>
      </c>
      <c r="R157" s="32">
        <f>IF(集計表!T74=0,NA(),集計表!T74)</f>
        <v>301</v>
      </c>
      <c r="S157" s="32">
        <f>IF(集計表!U74=0,NA(),集計表!U74)</f>
        <v>294</v>
      </c>
      <c r="T157" s="32">
        <f>IF(集計表!V74=0,NA(),集計表!V74)</f>
        <v>337</v>
      </c>
      <c r="U157" s="32">
        <f>IF(集計表!W74=0,NA(),集計表!W74)</f>
        <v>301</v>
      </c>
      <c r="V157" s="32">
        <f>IF(集計表!X74=0,NA(),集計表!X74)</f>
        <v>276</v>
      </c>
      <c r="W157" s="32">
        <f>IF(集計表!Y74=0,NA(),集計表!Y74)</f>
        <v>325</v>
      </c>
      <c r="X157" s="32">
        <f>IF(集計表!Z74=0,NA(),集計表!Z74)</f>
        <v>338</v>
      </c>
      <c r="Y157" s="32">
        <f>IF(集計表!AA74=0,NA(),集計表!AA74)</f>
        <v>366</v>
      </c>
      <c r="Z157" s="32">
        <f>IF(集計表!AB74=0,NA(),集計表!AB74)</f>
        <v>327</v>
      </c>
      <c r="AA157" s="32">
        <f>IF(集計表!AC74=0,NA(),集計表!AC74)</f>
        <v>361</v>
      </c>
      <c r="AB157" s="32">
        <f>IF(集計表!AD74=0,NA(),集計表!AD74)</f>
        <v>322</v>
      </c>
      <c r="AC157" s="32" t="e">
        <f>IF(集計表!AE74=0,NA(),集計表!AE74)</f>
        <v>#N/A</v>
      </c>
      <c r="AD157" s="32" t="e">
        <f>IF(集計表!AF74=0,NA(),集計表!AF74)</f>
        <v>#N/A</v>
      </c>
      <c r="AE157" s="32" t="e">
        <f>IF(集計表!AG74=0,NA(),集計表!AG74)</f>
        <v>#N/A</v>
      </c>
      <c r="AF157" s="32" t="e">
        <f>IF(集計表!AH74=0,NA(),集計表!AH74)</f>
        <v>#N/A</v>
      </c>
      <c r="AG157" s="32" t="e">
        <f>IF(集計表!AI74=0,NA(),集計表!AI74)</f>
        <v>#N/A</v>
      </c>
      <c r="AH157" s="32" t="e">
        <f>IF(集計表!AJ74=0,NA(),集計表!AJ74)</f>
        <v>#N/A</v>
      </c>
      <c r="AI157" s="32" t="e">
        <f>IF(集計表!AK74=0,NA(),集計表!AK74)</f>
        <v>#N/A</v>
      </c>
      <c r="AJ157" s="32" t="e">
        <f>IF(集計表!AL74=0,NA(),集計表!AL74)</f>
        <v>#N/A</v>
      </c>
      <c r="AK157" s="32" t="e">
        <f>IF(集計表!AM74=0,NA(),集計表!AM74)</f>
        <v>#N/A</v>
      </c>
      <c r="AL157" s="32" t="e">
        <f>IF(集計表!AN74=0,NA(),集計表!AN74)</f>
        <v>#N/A</v>
      </c>
      <c r="AM157" s="32" t="e">
        <f>IF(集計表!AO74=0,NA(),集計表!AO74)</f>
        <v>#N/A</v>
      </c>
      <c r="AN157" s="32" t="e">
        <f>IF(集計表!AP74=0,NA(),集計表!AP74)</f>
        <v>#N/A</v>
      </c>
      <c r="AO157" s="32" t="e">
        <f>IF(集計表!AQ74=0,NA(),集計表!AQ74)</f>
        <v>#N/A</v>
      </c>
      <c r="AP157" s="32" t="e">
        <f>IF(集計表!AR74=0,NA(),集計表!AR74)</f>
        <v>#N/A</v>
      </c>
      <c r="AQ157" s="32" t="e">
        <f>IF(集計表!AS74=0,NA(),集計表!AS74)</f>
        <v>#N/A</v>
      </c>
      <c r="AR157" s="32" t="e">
        <f>IF(集計表!AT74=0,NA(),集計表!AT74)</f>
        <v>#N/A</v>
      </c>
    </row>
    <row r="158" spans="1:45" s="42" customFormat="1" x14ac:dyDescent="0.2">
      <c r="A158" s="49" t="s">
        <v>2</v>
      </c>
      <c r="B158" s="32">
        <f>集計表!D75</f>
        <v>349</v>
      </c>
      <c r="C158" s="32">
        <f>集計表!E75</f>
        <v>349</v>
      </c>
      <c r="D158" s="32">
        <f>集計表!F75</f>
        <v>349</v>
      </c>
      <c r="E158" s="32">
        <f>集計表!G75</f>
        <v>349</v>
      </c>
      <c r="F158" s="32">
        <f>集計表!H75</f>
        <v>349</v>
      </c>
      <c r="G158" s="32">
        <f>集計表!I75</f>
        <v>349</v>
      </c>
      <c r="H158" s="32">
        <f>集計表!J75</f>
        <v>349</v>
      </c>
      <c r="I158" s="32">
        <f>集計表!K75</f>
        <v>330</v>
      </c>
      <c r="J158" s="32">
        <f>集計表!L75</f>
        <v>330</v>
      </c>
      <c r="K158" s="32">
        <f>集計表!M75</f>
        <v>330</v>
      </c>
      <c r="L158" s="32">
        <f>集計表!N75</f>
        <v>330</v>
      </c>
      <c r="M158" s="32">
        <f>集計表!O75</f>
        <v>330</v>
      </c>
      <c r="N158" s="32">
        <f>集計表!P75</f>
        <v>330</v>
      </c>
      <c r="O158" s="32">
        <f>集計表!Q75</f>
        <v>330</v>
      </c>
      <c r="P158" s="32">
        <f>集計表!R75</f>
        <v>330</v>
      </c>
      <c r="Q158" s="32">
        <f>集計表!S75</f>
        <v>272</v>
      </c>
      <c r="R158" s="32">
        <f>集計表!T75</f>
        <v>272</v>
      </c>
      <c r="S158" s="32">
        <f>集計表!U75</f>
        <v>272</v>
      </c>
      <c r="T158" s="32">
        <f>集計表!V75</f>
        <v>272</v>
      </c>
      <c r="U158" s="32">
        <f>集計表!W75</f>
        <v>272</v>
      </c>
      <c r="V158" s="32">
        <f>集計表!X75</f>
        <v>272</v>
      </c>
      <c r="W158" s="32">
        <f>集計表!Y75</f>
        <v>272</v>
      </c>
      <c r="X158" s="32">
        <f>集計表!Z75</f>
        <v>253</v>
      </c>
      <c r="Y158" s="32">
        <f>集計表!AA75</f>
        <v>253</v>
      </c>
      <c r="Z158" s="32">
        <f>集計表!AB75</f>
        <v>253</v>
      </c>
      <c r="AA158" s="32">
        <f>集計表!AC75</f>
        <v>253</v>
      </c>
      <c r="AB158" s="32">
        <f>集計表!AD75</f>
        <v>253</v>
      </c>
      <c r="AC158" s="32">
        <f>集計表!AE75</f>
        <v>253</v>
      </c>
      <c r="AD158" s="32">
        <f>集計表!AF75</f>
        <v>253</v>
      </c>
      <c r="AE158" s="32">
        <f>集計表!AG75</f>
        <v>315</v>
      </c>
      <c r="AF158" s="32">
        <f>集計表!AH75</f>
        <v>315</v>
      </c>
      <c r="AG158" s="32">
        <f>集計表!AI75</f>
        <v>315</v>
      </c>
      <c r="AH158" s="32">
        <f>集計表!AJ75</f>
        <v>315</v>
      </c>
      <c r="AI158" s="32">
        <f>集計表!AK75</f>
        <v>315</v>
      </c>
      <c r="AJ158" s="32">
        <f>集計表!AL75</f>
        <v>315</v>
      </c>
      <c r="AK158" s="32">
        <f>集計表!AM75</f>
        <v>364</v>
      </c>
      <c r="AL158" s="32">
        <f>集計表!AN75</f>
        <v>364</v>
      </c>
      <c r="AM158" s="32">
        <f>集計表!AO75</f>
        <v>364</v>
      </c>
      <c r="AN158" s="32">
        <f>集計表!AP75</f>
        <v>364</v>
      </c>
      <c r="AO158" s="32">
        <f>集計表!AQ75</f>
        <v>364</v>
      </c>
      <c r="AP158" s="32">
        <f>集計表!AR75</f>
        <v>364</v>
      </c>
      <c r="AQ158" s="32">
        <f>集計表!AS75</f>
        <v>364</v>
      </c>
      <c r="AR158" s="32">
        <f>集計表!AT75</f>
        <v>364</v>
      </c>
    </row>
    <row r="159" spans="1:45" s="42" customFormat="1" ht="13.5" customHeight="1" x14ac:dyDescent="0.2">
      <c r="A159" s="50" t="s">
        <v>23</v>
      </c>
      <c r="B159" s="51">
        <f>IFERROR(B157/B158, "")</f>
        <v>1.0744985673352436</v>
      </c>
      <c r="C159" s="51">
        <f t="shared" ref="C159:AM159" si="12">IFERROR(C157/C158, "")</f>
        <v>1.0888252148997135</v>
      </c>
      <c r="D159" s="51">
        <f t="shared" si="12"/>
        <v>1.0687679083094557</v>
      </c>
      <c r="E159" s="51">
        <f t="shared" si="12"/>
        <v>1.0401146131805157</v>
      </c>
      <c r="F159" s="51">
        <f t="shared" si="12"/>
        <v>1.0659025787965617</v>
      </c>
      <c r="G159" s="51">
        <f t="shared" si="12"/>
        <v>1.0659025787965617</v>
      </c>
      <c r="H159" s="51">
        <f t="shared" si="12"/>
        <v>1.0945558739255015</v>
      </c>
      <c r="I159" s="51">
        <f t="shared" si="12"/>
        <v>1.0363636363636364</v>
      </c>
      <c r="J159" s="51">
        <f t="shared" si="12"/>
        <v>1.0696969696969696</v>
      </c>
      <c r="K159" s="51">
        <f t="shared" si="12"/>
        <v>1.1212121212121211</v>
      </c>
      <c r="L159" s="51">
        <f t="shared" si="12"/>
        <v>1.1575757575757575</v>
      </c>
      <c r="M159" s="51">
        <f t="shared" si="12"/>
        <v>1.1696969696969697</v>
      </c>
      <c r="N159" s="51">
        <f t="shared" si="12"/>
        <v>1.0303030303030303</v>
      </c>
      <c r="O159" s="51">
        <f t="shared" si="12"/>
        <v>1.0787878787878789</v>
      </c>
      <c r="P159" s="51">
        <f t="shared" si="12"/>
        <v>0.95454545454545459</v>
      </c>
      <c r="Q159" s="51">
        <f t="shared" si="12"/>
        <v>1.1323529411764706</v>
      </c>
      <c r="R159" s="51">
        <f t="shared" si="12"/>
        <v>1.1066176470588236</v>
      </c>
      <c r="S159" s="51">
        <f t="shared" si="12"/>
        <v>1.0808823529411764</v>
      </c>
      <c r="T159" s="51">
        <f t="shared" si="12"/>
        <v>1.2389705882352942</v>
      </c>
      <c r="U159" s="51">
        <f t="shared" si="12"/>
        <v>1.1066176470588236</v>
      </c>
      <c r="V159" s="51">
        <f t="shared" si="12"/>
        <v>1.0147058823529411</v>
      </c>
      <c r="W159" s="51">
        <f t="shared" si="12"/>
        <v>1.1948529411764706</v>
      </c>
      <c r="X159" s="51">
        <f t="shared" si="12"/>
        <v>1.3359683794466404</v>
      </c>
      <c r="Y159" s="51">
        <f t="shared" si="12"/>
        <v>1.4466403162055337</v>
      </c>
      <c r="Z159" s="51">
        <f t="shared" si="12"/>
        <v>1.2924901185770752</v>
      </c>
      <c r="AA159" s="51">
        <f t="shared" si="12"/>
        <v>1.4268774703557312</v>
      </c>
      <c r="AB159" s="51">
        <f t="shared" si="12"/>
        <v>1.2727272727272727</v>
      </c>
      <c r="AC159" s="51" t="str">
        <f t="shared" si="12"/>
        <v/>
      </c>
      <c r="AD159" s="51" t="str">
        <f t="shared" si="12"/>
        <v/>
      </c>
      <c r="AE159" s="51" t="str">
        <f t="shared" si="12"/>
        <v/>
      </c>
      <c r="AF159" s="51" t="str">
        <f t="shared" si="12"/>
        <v/>
      </c>
      <c r="AG159" s="51" t="str">
        <f t="shared" si="12"/>
        <v/>
      </c>
      <c r="AH159" s="51" t="str">
        <f t="shared" si="12"/>
        <v/>
      </c>
      <c r="AI159" s="51" t="str">
        <f t="shared" si="12"/>
        <v/>
      </c>
      <c r="AJ159" s="51" t="str">
        <f t="shared" si="12"/>
        <v/>
      </c>
      <c r="AK159" s="51" t="str">
        <f t="shared" si="12"/>
        <v/>
      </c>
      <c r="AL159" s="51" t="str">
        <f t="shared" si="12"/>
        <v/>
      </c>
      <c r="AM159" s="51" t="str">
        <f t="shared" si="12"/>
        <v/>
      </c>
      <c r="AN159" s="51" t="str">
        <f t="shared" ref="AN159:AO159" si="13">IFERROR(AN157/AN158, "")</f>
        <v/>
      </c>
      <c r="AO159" s="51" t="str">
        <f t="shared" si="13"/>
        <v/>
      </c>
      <c r="AP159" s="51" t="str">
        <f t="shared" ref="AP159:AQ159" si="14">IFERROR(AP157/AP158, "")</f>
        <v/>
      </c>
      <c r="AQ159" s="51" t="str">
        <f t="shared" si="14"/>
        <v/>
      </c>
      <c r="AR159" s="51" t="str">
        <f t="shared" ref="AR159" si="15">IFERROR(AR157/AR158, "")</f>
        <v/>
      </c>
    </row>
    <row r="160" spans="1:45" s="33" customFormat="1" ht="22.5" customHeight="1" x14ac:dyDescent="0.2">
      <c r="A160" s="33" t="s">
        <v>24</v>
      </c>
      <c r="B160" s="34"/>
      <c r="C160" s="34"/>
      <c r="D160" s="35"/>
      <c r="E160" s="34"/>
      <c r="F160" s="36"/>
      <c r="G160" s="34"/>
      <c r="H160" s="34"/>
      <c r="I160" s="34"/>
      <c r="J160" s="34"/>
      <c r="K160" s="37"/>
      <c r="L160" s="34"/>
      <c r="M160" s="37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Q160"/>
      <c r="AR160"/>
      <c r="AS160"/>
    </row>
  </sheetData>
  <phoneticPr fontId="4"/>
  <conditionalFormatting sqref="B36">
    <cfRule type="expression" dxfId="9" priority="75" stopIfTrue="1">
      <formula>ISERROR(B36)</formula>
    </cfRule>
  </conditionalFormatting>
  <conditionalFormatting sqref="B76">
    <cfRule type="expression" dxfId="8" priority="74" stopIfTrue="1">
      <formula>ISERROR(B76)</formula>
    </cfRule>
  </conditionalFormatting>
  <conditionalFormatting sqref="B116">
    <cfRule type="expression" dxfId="7" priority="73" stopIfTrue="1">
      <formula>ISERROR(B116)</formula>
    </cfRule>
  </conditionalFormatting>
  <conditionalFormatting sqref="B156">
    <cfRule type="expression" dxfId="6" priority="72" stopIfTrue="1">
      <formula>ISERROR(B156)</formula>
    </cfRule>
  </conditionalFormatting>
  <conditionalFormatting sqref="B37:AR37 B77:AR77 B117:AR117 B157:AR157">
    <cfRule type="expression" dxfId="5" priority="79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S160"/>
  <sheetViews>
    <sheetView showGridLines="0" zoomScale="90" zoomScaleNormal="90" zoomScaleSheetLayoutView="80" workbookViewId="0"/>
  </sheetViews>
  <sheetFormatPr defaultRowHeight="13.2" x14ac:dyDescent="0.2"/>
  <cols>
    <col min="1" max="1" width="11.109375" bestFit="1" customWidth="1"/>
    <col min="2" max="44" width="4.109375" style="1" customWidth="1"/>
    <col min="45" max="45" width="3.77734375" customWidth="1"/>
    <col min="46" max="46" width="3.6640625" customWidth="1"/>
  </cols>
  <sheetData>
    <row r="1" spans="1:15" ht="15.6" x14ac:dyDescent="0.2">
      <c r="A1" s="19" t="s">
        <v>15</v>
      </c>
      <c r="B1" s="10"/>
      <c r="C1" s="10"/>
      <c r="D1" s="10"/>
      <c r="E1" s="10"/>
      <c r="F1" s="10"/>
      <c r="G1" s="10"/>
      <c r="H1" s="10"/>
      <c r="I1" s="10"/>
      <c r="J1" s="10"/>
      <c r="L1" s="10" t="str">
        <f>TEXT(集計表!$C$1,"(e.m/d～)")</f>
        <v>(8.6/1～)</v>
      </c>
      <c r="M1" s="10"/>
      <c r="N1" s="10"/>
      <c r="O1" s="10"/>
    </row>
    <row r="2" spans="1:15" ht="15.6" x14ac:dyDescent="0.2">
      <c r="A2" s="19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29" ht="13.5" customHeight="1" x14ac:dyDescent="0.2"/>
    <row r="32" ht="13.5" customHeight="1" x14ac:dyDescent="0.2"/>
    <row r="33" spans="1:45" ht="13.2" customHeight="1" x14ac:dyDescent="0.2"/>
    <row r="34" spans="1:45" s="39" customFormat="1" ht="16.2" customHeight="1" x14ac:dyDescent="0.2">
      <c r="B34" s="38"/>
      <c r="C34" s="38"/>
      <c r="D34" s="40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40"/>
      <c r="S34" s="38"/>
      <c r="T34" s="38"/>
      <c r="U34" s="38"/>
      <c r="V34" s="38"/>
      <c r="W34" s="40"/>
      <c r="X34" s="38"/>
      <c r="Y34" s="38"/>
      <c r="Z34" s="38"/>
      <c r="AA34" s="40"/>
      <c r="AB34" s="38"/>
      <c r="AC34" s="38"/>
      <c r="AD34" s="38"/>
      <c r="AE34" s="38"/>
      <c r="AF34" s="38"/>
      <c r="AG34" s="38"/>
      <c r="AH34" s="38"/>
      <c r="AI34" s="38"/>
      <c r="AJ34" s="44"/>
      <c r="AL34" s="38"/>
      <c r="AM34" s="38"/>
      <c r="AN34" s="44"/>
      <c r="AO34" s="38"/>
      <c r="AP34" s="38"/>
      <c r="AQ34" s="38"/>
      <c r="AR34" s="38"/>
    </row>
    <row r="35" spans="1:45" ht="13.5" customHeight="1" x14ac:dyDescent="0.2">
      <c r="A35" s="45">
        <f>集計表!C79</f>
        <v>46174</v>
      </c>
      <c r="B35" s="46" t="str">
        <f>集計表!D79</f>
        <v>6/1</v>
      </c>
      <c r="C35" s="47" t="str">
        <f>集計表!E79</f>
        <v>2</v>
      </c>
      <c r="D35" s="47" t="str">
        <f>集計表!F79</f>
        <v>4</v>
      </c>
      <c r="E35" s="48" t="str">
        <f>集計表!G79</f>
        <v>5</v>
      </c>
      <c r="F35" s="47" t="str">
        <f>集計表!H79</f>
        <v>6</v>
      </c>
      <c r="G35" s="47" t="str">
        <f>集計表!I79</f>
        <v>8</v>
      </c>
      <c r="H35" s="47" t="str">
        <f>集計表!J79</f>
        <v>9</v>
      </c>
      <c r="I35" s="47" t="str">
        <f>集計表!K79</f>
        <v>11</v>
      </c>
      <c r="J35" s="47" t="str">
        <f>集計表!L79</f>
        <v>12</v>
      </c>
      <c r="K35" s="47" t="str">
        <f>集計表!M79</f>
        <v>13</v>
      </c>
      <c r="L35" s="47" t="str">
        <f>集計表!N79</f>
        <v>15</v>
      </c>
      <c r="M35" s="47" t="str">
        <f>集計表!O79</f>
        <v>16</v>
      </c>
      <c r="N35" s="47" t="str">
        <f>集計表!P79</f>
        <v>18</v>
      </c>
      <c r="O35" s="47" t="str">
        <f>集計表!Q79</f>
        <v>19</v>
      </c>
      <c r="P35" s="48" t="str">
        <f>集計表!R79</f>
        <v>20</v>
      </c>
      <c r="Q35" s="47" t="str">
        <f>集計表!S79</f>
        <v>22</v>
      </c>
      <c r="R35" s="47" t="str">
        <f>集計表!T79</f>
        <v>23</v>
      </c>
      <c r="S35" s="47" t="str">
        <f>集計表!U79</f>
        <v>25</v>
      </c>
      <c r="T35" s="47" t="str">
        <f>集計表!V79</f>
        <v>26</v>
      </c>
      <c r="U35" s="47" t="str">
        <f>集計表!W79</f>
        <v>27</v>
      </c>
      <c r="V35" s="47" t="str">
        <f>集計表!X79</f>
        <v>29</v>
      </c>
      <c r="W35" s="47" t="str">
        <f>集計表!Y79</f>
        <v>30</v>
      </c>
      <c r="X35" s="47" t="str">
        <f>集計表!Z79</f>
        <v>7/2</v>
      </c>
      <c r="Y35" s="47" t="str">
        <f>集計表!AA79</f>
        <v>3</v>
      </c>
      <c r="Z35" s="47" t="str">
        <f>集計表!AB79</f>
        <v>4</v>
      </c>
      <c r="AA35" s="47" t="str">
        <f>集計表!AC79</f>
        <v>6</v>
      </c>
      <c r="AB35" s="47" t="str">
        <f>集計表!AD79</f>
        <v>7</v>
      </c>
      <c r="AC35" s="47" t="str">
        <f>集計表!AE79</f>
        <v>9</v>
      </c>
      <c r="AD35" s="47" t="str">
        <f>集計表!AF79</f>
        <v>10</v>
      </c>
      <c r="AE35" s="47" t="str">
        <f>集計表!AG79</f>
        <v>11</v>
      </c>
      <c r="AF35" s="47" t="str">
        <f>集計表!AH79</f>
        <v>13</v>
      </c>
      <c r="AG35" s="47" t="str">
        <f>集計表!AI79</f>
        <v>14</v>
      </c>
      <c r="AH35" s="47" t="str">
        <f>集計表!AJ79</f>
        <v>16</v>
      </c>
      <c r="AI35" s="47" t="str">
        <f>集計表!AK79</f>
        <v>17</v>
      </c>
      <c r="AJ35" s="47" t="str">
        <f>集計表!AL79</f>
        <v>18</v>
      </c>
      <c r="AK35" s="47" t="str">
        <f>集計表!AM79</f>
        <v>21</v>
      </c>
      <c r="AL35" s="47" t="str">
        <f>集計表!AN79</f>
        <v>23</v>
      </c>
      <c r="AM35" s="47" t="str">
        <f>集計表!AO79</f>
        <v>24</v>
      </c>
      <c r="AN35" s="47" t="str">
        <f>集計表!AP79</f>
        <v>25</v>
      </c>
      <c r="AO35" s="47" t="str">
        <f>集計表!AQ79</f>
        <v>27</v>
      </c>
      <c r="AP35" s="47" t="str">
        <f>集計表!AR79</f>
        <v>28</v>
      </c>
      <c r="AQ35" s="47" t="str">
        <f>集計表!AS79</f>
        <v>30</v>
      </c>
      <c r="AR35" s="47" t="str">
        <f>集計表!AT79</f>
        <v>31</v>
      </c>
    </row>
    <row r="36" spans="1:45" s="42" customFormat="1" ht="13.5" customHeight="1" x14ac:dyDescent="0.2">
      <c r="A36" s="49" t="s">
        <v>0</v>
      </c>
      <c r="B36" s="41">
        <f>IF(集計表!D81="","",集計表!D81)</f>
        <v>142.03399999999999</v>
      </c>
      <c r="C36" s="41">
        <f>IF(集計表!E81="","",集計表!E81)</f>
        <v>96.355999999999995</v>
      </c>
      <c r="D36" s="41">
        <f>IF(集計表!F81="","",集計表!F81)</f>
        <v>105.508</v>
      </c>
      <c r="E36" s="41">
        <f>IF(集計表!G81="","",集計表!G81)</f>
        <v>90.334000000000003</v>
      </c>
      <c r="F36" s="41">
        <f>IF(集計表!H81="","",集計表!H81)</f>
        <v>96.923000000000002</v>
      </c>
      <c r="G36" s="41">
        <f>IF(集計表!I81="","",集計表!I81)</f>
        <v>170.55699999999999</v>
      </c>
      <c r="H36" s="41">
        <f>IF(集計表!J81="","",集計表!J81)</f>
        <v>114.79600000000001</v>
      </c>
      <c r="I36" s="41">
        <f>IF(集計表!K81="","",集計表!K81)</f>
        <v>160.191</v>
      </c>
      <c r="J36" s="41">
        <f>IF(集計表!L81="","",集計表!L81)</f>
        <v>99.608000000000004</v>
      </c>
      <c r="K36" s="41">
        <f>IF(集計表!M81="","",集計表!M81)</f>
        <v>89.766999999999996</v>
      </c>
      <c r="L36" s="41">
        <f>IF(集計表!N81="","",集計表!N81)</f>
        <v>131.214</v>
      </c>
      <c r="M36" s="41">
        <f>IF(集計表!O81="","",集計表!O81)</f>
        <v>72.596999999999994</v>
      </c>
      <c r="N36" s="41">
        <f>IF(集計表!P81="","",集計表!P81)</f>
        <v>128.68</v>
      </c>
      <c r="O36" s="41">
        <f>IF(集計表!Q81="","",集計表!Q81)</f>
        <v>73.671999999999997</v>
      </c>
      <c r="P36" s="41">
        <f>IF(集計表!R81="","",集計表!R81)</f>
        <v>77.643000000000001</v>
      </c>
      <c r="Q36" s="41">
        <f>IF(集計表!S81="","",集計表!S81)</f>
        <v>107.20699999999999</v>
      </c>
      <c r="R36" s="41">
        <f>IF(集計表!T81="","",集計表!T81)</f>
        <v>66.281000000000006</v>
      </c>
      <c r="S36" s="41">
        <f>IF(集計表!U81="","",集計表!U81)</f>
        <v>119.369</v>
      </c>
      <c r="T36" s="41">
        <f>IF(集計表!V81="","",集計表!V81)</f>
        <v>74.900000000000006</v>
      </c>
      <c r="U36" s="41">
        <f>IF(集計表!W81="","",集計表!W81)</f>
        <v>74.265000000000001</v>
      </c>
      <c r="V36" s="41">
        <f>IF(集計表!X81="","",集計表!X81)</f>
        <v>86.861000000000004</v>
      </c>
      <c r="W36" s="41">
        <f>IF(集計表!Y81="","",集計表!Y81)</f>
        <v>70.900000000000006</v>
      </c>
      <c r="X36" s="41">
        <f>IF(集計表!Z81="","",集計表!Z81)</f>
        <v>112.187</v>
      </c>
      <c r="Y36" s="41">
        <f>IF(集計表!AA81="","",集計表!AA81)</f>
        <v>65.734999999999999</v>
      </c>
      <c r="Z36" s="41">
        <f>IF(集計表!AB81="","",集計表!AB81)</f>
        <v>70.39</v>
      </c>
      <c r="AA36" s="41">
        <f>IF(集計表!AC81="","",集計表!AC81)</f>
        <v>102.548</v>
      </c>
      <c r="AB36" s="41">
        <f>IF(集計表!AD81="","",集計表!AD81)</f>
        <v>73.161000000000001</v>
      </c>
      <c r="AC36" s="41" t="str">
        <f>IF(集計表!AE81="","",集計表!AE81)</f>
        <v/>
      </c>
      <c r="AD36" s="41" t="str">
        <f>IF(集計表!AF81="","",集計表!AF81)</f>
        <v/>
      </c>
      <c r="AE36" s="41" t="str">
        <f>IF(集計表!AG81="","",集計表!AG81)</f>
        <v/>
      </c>
      <c r="AF36" s="41" t="str">
        <f>IF(集計表!AH81="","",集計表!AH81)</f>
        <v/>
      </c>
      <c r="AG36" s="41" t="str">
        <f>IF(集計表!AI81="","",集計表!AI81)</f>
        <v/>
      </c>
      <c r="AH36" s="41" t="str">
        <f>IF(集計表!AJ81="","",集計表!AJ81)</f>
        <v/>
      </c>
      <c r="AI36" s="41" t="str">
        <f>IF(集計表!AK81="","",集計表!AK81)</f>
        <v/>
      </c>
      <c r="AJ36" s="41" t="str">
        <f>IF(集計表!AL81="","",集計表!AL81)</f>
        <v/>
      </c>
      <c r="AK36" s="41" t="str">
        <f>IF(集計表!AM81="","",集計表!AM81)</f>
        <v/>
      </c>
      <c r="AL36" s="41" t="str">
        <f>IF(集計表!AN81="","",集計表!AN81)</f>
        <v/>
      </c>
      <c r="AM36" s="41" t="str">
        <f>IF(集計表!AO81="","",集計表!AO81)</f>
        <v/>
      </c>
      <c r="AN36" s="41" t="str">
        <f>IF(集計表!AP81="","",集計表!AP81)</f>
        <v/>
      </c>
      <c r="AO36" s="41" t="str">
        <f>IF(集計表!AQ81="","",集計表!AQ81)</f>
        <v/>
      </c>
      <c r="AP36" s="41" t="str">
        <f>IF(集計表!AR81="","",集計表!AR81)</f>
        <v/>
      </c>
      <c r="AQ36" s="41" t="str">
        <f>IF(集計表!AS81="","",集計表!AS81)</f>
        <v/>
      </c>
      <c r="AR36" s="41" t="str">
        <f>IF(集計表!AT81="","",集計表!AT81)</f>
        <v/>
      </c>
    </row>
    <row r="37" spans="1:45" s="42" customFormat="1" ht="13.5" customHeight="1" x14ac:dyDescent="0.2">
      <c r="A37" s="49" t="s">
        <v>1</v>
      </c>
      <c r="B37" s="41">
        <f>IF(集計表!D82=0,NA(),集計表!D82)</f>
        <v>519</v>
      </c>
      <c r="C37" s="41">
        <f>IF(集計表!E82=0,NA(),集計表!E82)</f>
        <v>516</v>
      </c>
      <c r="D37" s="41">
        <f>IF(集計表!F82=0,NA(),集計表!F82)</f>
        <v>525</v>
      </c>
      <c r="E37" s="41">
        <f>IF(集計表!G82=0,NA(),集計表!G82)</f>
        <v>480</v>
      </c>
      <c r="F37" s="41">
        <f>IF(集計表!H82=0,NA(),集計表!H82)</f>
        <v>492</v>
      </c>
      <c r="G37" s="41">
        <f>IF(集計表!I82=0,NA(),集計表!I82)</f>
        <v>459</v>
      </c>
      <c r="H37" s="41">
        <f>IF(集計表!J82=0,NA(),集計表!J82)</f>
        <v>434</v>
      </c>
      <c r="I37" s="41">
        <f>IF(集計表!K82=0,NA(),集計表!K82)</f>
        <v>434</v>
      </c>
      <c r="J37" s="41">
        <f>IF(集計表!L82=0,NA(),集計表!L82)</f>
        <v>395</v>
      </c>
      <c r="K37" s="41">
        <f>IF(集計表!M82=0,NA(),集計表!M82)</f>
        <v>419</v>
      </c>
      <c r="L37" s="41">
        <f>IF(集計表!N82=0,NA(),集計表!N82)</f>
        <v>433</v>
      </c>
      <c r="M37" s="41">
        <f>IF(集計表!O82=0,NA(),集計表!O82)</f>
        <v>445</v>
      </c>
      <c r="N37" s="41">
        <f>IF(集計表!P82=0,NA(),集計表!P82)</f>
        <v>459</v>
      </c>
      <c r="O37" s="41">
        <f>IF(集計表!Q82=0,NA(),集計表!Q82)</f>
        <v>450</v>
      </c>
      <c r="P37" s="41">
        <f>IF(集計表!R82=0,NA(),集計表!R82)</f>
        <v>464</v>
      </c>
      <c r="Q37" s="41">
        <f>IF(集計表!S82=0,NA(),集計表!S82)</f>
        <v>479</v>
      </c>
      <c r="R37" s="41">
        <f>IF(集計表!T82=0,NA(),集計表!T82)</f>
        <v>498</v>
      </c>
      <c r="S37" s="41">
        <f>IF(集計表!U82=0,NA(),集計表!U82)</f>
        <v>523</v>
      </c>
      <c r="T37" s="41">
        <f>IF(集計表!V82=0,NA(),集計表!V82)</f>
        <v>512</v>
      </c>
      <c r="U37" s="41">
        <f>IF(集計表!W82=0,NA(),集計表!W82)</f>
        <v>521</v>
      </c>
      <c r="V37" s="41">
        <f>IF(集計表!X82=0,NA(),集計表!X82)</f>
        <v>561</v>
      </c>
      <c r="W37" s="41">
        <f>IF(集計表!Y82=0,NA(),集計表!Y82)</f>
        <v>562</v>
      </c>
      <c r="X37" s="41">
        <f>IF(集計表!Z82=0,NA(),集計表!Z82)</f>
        <v>577</v>
      </c>
      <c r="Y37" s="41">
        <f>IF(集計表!AA82=0,NA(),集計表!AA82)</f>
        <v>580</v>
      </c>
      <c r="Z37" s="41">
        <f>IF(集計表!AB82=0,NA(),集計表!AB82)</f>
        <v>585</v>
      </c>
      <c r="AA37" s="41">
        <f>IF(集計表!AC82=0,NA(),集計表!AC82)</f>
        <v>603</v>
      </c>
      <c r="AB37" s="41">
        <f>IF(集計表!AD82=0,NA(),集計表!AD82)</f>
        <v>594</v>
      </c>
      <c r="AC37" s="41" t="e">
        <f>IF(集計表!AE82=0,NA(),集計表!AE82)</f>
        <v>#N/A</v>
      </c>
      <c r="AD37" s="41" t="e">
        <f>IF(集計表!AF82=0,NA(),集計表!AF82)</f>
        <v>#N/A</v>
      </c>
      <c r="AE37" s="41" t="e">
        <f>IF(集計表!AG82=0,NA(),集計表!AG82)</f>
        <v>#N/A</v>
      </c>
      <c r="AF37" s="41" t="e">
        <f>IF(集計表!AH82=0,NA(),集計表!AH82)</f>
        <v>#N/A</v>
      </c>
      <c r="AG37" s="41" t="e">
        <f>IF(集計表!AI82=0,NA(),集計表!AI82)</f>
        <v>#N/A</v>
      </c>
      <c r="AH37" s="41" t="e">
        <f>IF(集計表!AJ82=0,NA(),集計表!AJ82)</f>
        <v>#N/A</v>
      </c>
      <c r="AI37" s="41" t="e">
        <f>IF(集計表!AK82=0,NA(),集計表!AK82)</f>
        <v>#N/A</v>
      </c>
      <c r="AJ37" s="41" t="e">
        <f>IF(集計表!AL82=0,NA(),集計表!AL82)</f>
        <v>#N/A</v>
      </c>
      <c r="AK37" s="41" t="e">
        <f>IF(集計表!AM82=0,NA(),集計表!AM82)</f>
        <v>#N/A</v>
      </c>
      <c r="AL37" s="41" t="e">
        <f>IF(集計表!AN82=0,NA(),集計表!AN82)</f>
        <v>#N/A</v>
      </c>
      <c r="AM37" s="41" t="e">
        <f>IF(集計表!AO82=0,NA(),集計表!AO82)</f>
        <v>#N/A</v>
      </c>
      <c r="AN37" s="41" t="e">
        <f>IF(集計表!AP82=0,NA(),集計表!AP82)</f>
        <v>#N/A</v>
      </c>
      <c r="AO37" s="41" t="e">
        <f>IF(集計表!AQ82=0,NA(),集計表!AQ82)</f>
        <v>#N/A</v>
      </c>
      <c r="AP37" s="41" t="e">
        <f>IF(集計表!AR82=0,NA(),集計表!AR82)</f>
        <v>#N/A</v>
      </c>
      <c r="AQ37" s="41" t="e">
        <f>IF(集計表!AS82=0,NA(),集計表!AS82)</f>
        <v>#N/A</v>
      </c>
      <c r="AR37" s="41" t="e">
        <f>IF(集計表!AT82=0,NA(),集計表!AT82)</f>
        <v>#N/A</v>
      </c>
    </row>
    <row r="38" spans="1:45" s="42" customFormat="1" ht="13.5" customHeight="1" x14ac:dyDescent="0.2">
      <c r="A38" s="49" t="s">
        <v>2</v>
      </c>
      <c r="B38" s="32">
        <f>集計表!D83</f>
        <v>464</v>
      </c>
      <c r="C38" s="32">
        <f>集計表!E83</f>
        <v>464</v>
      </c>
      <c r="D38" s="32">
        <f>集計表!F83</f>
        <v>464</v>
      </c>
      <c r="E38" s="32">
        <f>集計表!G83</f>
        <v>464</v>
      </c>
      <c r="F38" s="32">
        <f>集計表!H83</f>
        <v>464</v>
      </c>
      <c r="G38" s="32">
        <f>集計表!I83</f>
        <v>464</v>
      </c>
      <c r="H38" s="32">
        <f>集計表!J83</f>
        <v>464</v>
      </c>
      <c r="I38" s="32">
        <f>集計表!K83</f>
        <v>498</v>
      </c>
      <c r="J38" s="32">
        <f>集計表!L83</f>
        <v>498</v>
      </c>
      <c r="K38" s="32">
        <f>集計表!M83</f>
        <v>498</v>
      </c>
      <c r="L38" s="32">
        <f>集計表!N83</f>
        <v>498</v>
      </c>
      <c r="M38" s="32">
        <f>集計表!O83</f>
        <v>498</v>
      </c>
      <c r="N38" s="32">
        <f>集計表!P83</f>
        <v>498</v>
      </c>
      <c r="O38" s="32">
        <f>集計表!Q83</f>
        <v>498</v>
      </c>
      <c r="P38" s="32">
        <f>集計表!R83</f>
        <v>498</v>
      </c>
      <c r="Q38" s="32">
        <f>集計表!S83</f>
        <v>458</v>
      </c>
      <c r="R38" s="32">
        <f>集計表!T83</f>
        <v>458</v>
      </c>
      <c r="S38" s="32">
        <f>集計表!U83</f>
        <v>458</v>
      </c>
      <c r="T38" s="32">
        <f>集計表!V83</f>
        <v>458</v>
      </c>
      <c r="U38" s="32">
        <f>集計表!W83</f>
        <v>458</v>
      </c>
      <c r="V38" s="32">
        <f>集計表!X83</f>
        <v>458</v>
      </c>
      <c r="W38" s="32">
        <f>集計表!Y83</f>
        <v>458</v>
      </c>
      <c r="X38" s="32">
        <f>集計表!Z83</f>
        <v>436</v>
      </c>
      <c r="Y38" s="32">
        <f>集計表!AA83</f>
        <v>436</v>
      </c>
      <c r="Z38" s="32">
        <f>集計表!AB83</f>
        <v>436</v>
      </c>
      <c r="AA38" s="32">
        <f>集計表!AC83</f>
        <v>436</v>
      </c>
      <c r="AB38" s="32">
        <f>集計表!AD83</f>
        <v>436</v>
      </c>
      <c r="AC38" s="32">
        <f>集計表!AE83</f>
        <v>436</v>
      </c>
      <c r="AD38" s="32">
        <f>集計表!AF83</f>
        <v>436</v>
      </c>
      <c r="AE38" s="32">
        <f>集計表!AG83</f>
        <v>453</v>
      </c>
      <c r="AF38" s="32">
        <f>集計表!AH83</f>
        <v>453</v>
      </c>
      <c r="AG38" s="32">
        <f>集計表!AI83</f>
        <v>453</v>
      </c>
      <c r="AH38" s="32">
        <f>集計表!AJ83</f>
        <v>453</v>
      </c>
      <c r="AI38" s="32">
        <f>集計表!AK83</f>
        <v>453</v>
      </c>
      <c r="AJ38" s="32">
        <f>集計表!AL83</f>
        <v>453</v>
      </c>
      <c r="AK38" s="32">
        <f>集計表!AM83</f>
        <v>460</v>
      </c>
      <c r="AL38" s="32">
        <f>集計表!AN83</f>
        <v>460</v>
      </c>
      <c r="AM38" s="32">
        <f>集計表!AO83</f>
        <v>460</v>
      </c>
      <c r="AN38" s="32">
        <f>集計表!AP83</f>
        <v>460</v>
      </c>
      <c r="AO38" s="32">
        <f>集計表!AQ83</f>
        <v>460</v>
      </c>
      <c r="AP38" s="32">
        <f>集計表!AR83</f>
        <v>460</v>
      </c>
      <c r="AQ38" s="32">
        <f>集計表!AS83</f>
        <v>460</v>
      </c>
      <c r="AR38" s="32">
        <f>集計表!AT83</f>
        <v>460</v>
      </c>
    </row>
    <row r="39" spans="1:45" s="42" customFormat="1" ht="13.5" customHeight="1" x14ac:dyDescent="0.2">
      <c r="A39" s="50" t="s">
        <v>23</v>
      </c>
      <c r="B39" s="51">
        <f>IFERROR(B37/B38, "")</f>
        <v>1.1185344827586208</v>
      </c>
      <c r="C39" s="51">
        <f t="shared" ref="C39:AM39" si="0">IFERROR(C37/C38, "")</f>
        <v>1.1120689655172413</v>
      </c>
      <c r="D39" s="51">
        <f t="shared" si="0"/>
        <v>1.1314655172413792</v>
      </c>
      <c r="E39" s="51">
        <f t="shared" si="0"/>
        <v>1.0344827586206897</v>
      </c>
      <c r="F39" s="51">
        <f t="shared" si="0"/>
        <v>1.0603448275862069</v>
      </c>
      <c r="G39" s="51">
        <f t="shared" si="0"/>
        <v>0.98922413793103448</v>
      </c>
      <c r="H39" s="51">
        <f t="shared" si="0"/>
        <v>0.93534482758620685</v>
      </c>
      <c r="I39" s="51">
        <f t="shared" si="0"/>
        <v>0.87148594377510036</v>
      </c>
      <c r="J39" s="51">
        <f t="shared" si="0"/>
        <v>0.79317269076305219</v>
      </c>
      <c r="K39" s="51">
        <f t="shared" si="0"/>
        <v>0.84136546184738958</v>
      </c>
      <c r="L39" s="51">
        <f t="shared" si="0"/>
        <v>0.86947791164658639</v>
      </c>
      <c r="M39" s="51">
        <f t="shared" si="0"/>
        <v>0.89357429718875503</v>
      </c>
      <c r="N39" s="51">
        <f t="shared" si="0"/>
        <v>0.92168674698795183</v>
      </c>
      <c r="O39" s="51">
        <f t="shared" si="0"/>
        <v>0.90361445783132532</v>
      </c>
      <c r="P39" s="51">
        <f t="shared" si="0"/>
        <v>0.93172690763052213</v>
      </c>
      <c r="Q39" s="51">
        <f t="shared" si="0"/>
        <v>1.0458515283842795</v>
      </c>
      <c r="R39" s="51">
        <f t="shared" si="0"/>
        <v>1.0873362445414847</v>
      </c>
      <c r="S39" s="51">
        <f t="shared" si="0"/>
        <v>1.1419213973799127</v>
      </c>
      <c r="T39" s="51">
        <f t="shared" si="0"/>
        <v>1.1179039301310043</v>
      </c>
      <c r="U39" s="51">
        <f t="shared" si="0"/>
        <v>1.1375545851528384</v>
      </c>
      <c r="V39" s="51">
        <f t="shared" si="0"/>
        <v>1.2248908296943231</v>
      </c>
      <c r="W39" s="51">
        <f t="shared" si="0"/>
        <v>1.2270742358078603</v>
      </c>
      <c r="X39" s="51">
        <f t="shared" si="0"/>
        <v>1.323394495412844</v>
      </c>
      <c r="Y39" s="51">
        <f t="shared" si="0"/>
        <v>1.3302752293577982</v>
      </c>
      <c r="Z39" s="51">
        <f t="shared" si="0"/>
        <v>1.3417431192660549</v>
      </c>
      <c r="AA39" s="51">
        <f t="shared" si="0"/>
        <v>1.3830275229357798</v>
      </c>
      <c r="AB39" s="51">
        <f t="shared" si="0"/>
        <v>1.3623853211009174</v>
      </c>
      <c r="AC39" s="51" t="str">
        <f t="shared" si="0"/>
        <v/>
      </c>
      <c r="AD39" s="51" t="str">
        <f t="shared" si="0"/>
        <v/>
      </c>
      <c r="AE39" s="51" t="str">
        <f t="shared" si="0"/>
        <v/>
      </c>
      <c r="AF39" s="51" t="str">
        <f t="shared" si="0"/>
        <v/>
      </c>
      <c r="AG39" s="51" t="str">
        <f t="shared" si="0"/>
        <v/>
      </c>
      <c r="AH39" s="51" t="str">
        <f t="shared" si="0"/>
        <v/>
      </c>
      <c r="AI39" s="51" t="str">
        <f t="shared" si="0"/>
        <v/>
      </c>
      <c r="AJ39" s="51" t="str">
        <f t="shared" si="0"/>
        <v/>
      </c>
      <c r="AK39" s="51" t="str">
        <f t="shared" si="0"/>
        <v/>
      </c>
      <c r="AL39" s="51" t="str">
        <f t="shared" si="0"/>
        <v/>
      </c>
      <c r="AM39" s="51" t="str">
        <f t="shared" si="0"/>
        <v/>
      </c>
      <c r="AN39" s="51" t="str">
        <f t="shared" ref="AN39:AO39" si="1">IFERROR(AN37/AN38, "")</f>
        <v/>
      </c>
      <c r="AO39" s="51" t="str">
        <f t="shared" si="1"/>
        <v/>
      </c>
      <c r="AP39" s="51" t="str">
        <f t="shared" ref="AP39:AQ39" si="2">IFERROR(AP37/AP38, "")</f>
        <v/>
      </c>
      <c r="AQ39" s="51" t="str">
        <f t="shared" si="2"/>
        <v/>
      </c>
      <c r="AR39" s="51" t="str">
        <f t="shared" ref="AR39" si="3">IFERROR(AR37/AR38, "")</f>
        <v/>
      </c>
    </row>
    <row r="40" spans="1:45" s="33" customFormat="1" ht="30" customHeight="1" x14ac:dyDescent="0.2">
      <c r="A40" s="33" t="s">
        <v>24</v>
      </c>
      <c r="B40" s="34"/>
      <c r="C40" s="34"/>
      <c r="D40" s="35"/>
      <c r="E40" s="34"/>
      <c r="F40" s="36"/>
      <c r="G40" s="34"/>
      <c r="H40" s="34"/>
      <c r="I40" s="34"/>
      <c r="J40" s="34"/>
      <c r="K40" s="37"/>
      <c r="L40" s="34"/>
      <c r="M40" s="3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Q40"/>
      <c r="AR40"/>
      <c r="AS40"/>
    </row>
    <row r="41" spans="1:45" ht="15.6" x14ac:dyDescent="0.2">
      <c r="A41" s="19" t="s">
        <v>15</v>
      </c>
      <c r="B41" s="10"/>
      <c r="C41" s="10"/>
      <c r="D41" s="10"/>
      <c r="E41" s="10"/>
      <c r="F41" s="10"/>
      <c r="G41" s="10"/>
      <c r="H41" s="10"/>
      <c r="I41" s="10"/>
      <c r="J41" s="10"/>
      <c r="L41" s="10" t="str">
        <f>TEXT(集計表!$C$1,"(e.m/d～)")</f>
        <v>(8.6/1～)</v>
      </c>
      <c r="M41" s="10"/>
      <c r="N41" s="10"/>
      <c r="O41" s="10"/>
    </row>
    <row r="42" spans="1:45" ht="15.6" x14ac:dyDescent="0.2">
      <c r="A42" s="19" t="s">
        <v>17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69" spans="1:45" ht="13.5" customHeight="1" x14ac:dyDescent="0.2"/>
    <row r="72" spans="1:45" ht="13.5" customHeight="1" x14ac:dyDescent="0.2"/>
    <row r="73" spans="1:45" ht="12.75" customHeight="1" x14ac:dyDescent="0.2"/>
    <row r="74" spans="1:45" s="39" customFormat="1" ht="16.2" customHeight="1" x14ac:dyDescent="0.2">
      <c r="B74" s="38"/>
      <c r="C74" s="38"/>
      <c r="D74" s="40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40"/>
      <c r="S74" s="38"/>
      <c r="T74" s="38"/>
      <c r="U74" s="38"/>
      <c r="V74" s="38"/>
      <c r="W74" s="38"/>
      <c r="X74" s="38"/>
      <c r="Y74" s="38"/>
      <c r="Z74" s="38"/>
      <c r="AA74" s="40"/>
      <c r="AB74" s="38"/>
      <c r="AC74" s="38"/>
      <c r="AD74" s="38"/>
      <c r="AE74" s="38"/>
      <c r="AF74" s="38"/>
      <c r="AG74" s="38"/>
      <c r="AH74" s="38"/>
      <c r="AI74" s="38"/>
      <c r="AJ74" s="44"/>
      <c r="AL74" s="38"/>
      <c r="AM74" s="38"/>
      <c r="AN74" s="44"/>
      <c r="AO74" s="38"/>
      <c r="AP74" s="38"/>
      <c r="AQ74" s="38"/>
      <c r="AR74" s="38"/>
    </row>
    <row r="75" spans="1:45" ht="13.5" customHeight="1" x14ac:dyDescent="0.2">
      <c r="A75" s="45">
        <f>集計表!C85</f>
        <v>46174</v>
      </c>
      <c r="B75" s="58" t="str">
        <f>集計表!D85</f>
        <v>6/1</v>
      </c>
      <c r="C75" s="47" t="str">
        <f>集計表!E85</f>
        <v>2</v>
      </c>
      <c r="D75" s="47" t="str">
        <f>集計表!F85</f>
        <v>4</v>
      </c>
      <c r="E75" s="47" t="str">
        <f>集計表!G85</f>
        <v>5</v>
      </c>
      <c r="F75" s="47" t="str">
        <f>集計表!H85</f>
        <v>6</v>
      </c>
      <c r="G75" s="47" t="str">
        <f>集計表!I85</f>
        <v>8</v>
      </c>
      <c r="H75" s="47" t="str">
        <f>集計表!J85</f>
        <v>9</v>
      </c>
      <c r="I75" s="47" t="str">
        <f>集計表!K85</f>
        <v>11</v>
      </c>
      <c r="J75" s="47" t="str">
        <f>集計表!L85</f>
        <v>12</v>
      </c>
      <c r="K75" s="47" t="str">
        <f>集計表!M85</f>
        <v>13</v>
      </c>
      <c r="L75" s="47" t="str">
        <f>集計表!N85</f>
        <v>15</v>
      </c>
      <c r="M75" s="47" t="str">
        <f>集計表!O85</f>
        <v>16</v>
      </c>
      <c r="N75" s="47" t="str">
        <f>集計表!P85</f>
        <v>18</v>
      </c>
      <c r="O75" s="47" t="str">
        <f>集計表!Q85</f>
        <v>19</v>
      </c>
      <c r="P75" s="47" t="str">
        <f>集計表!R85</f>
        <v>20</v>
      </c>
      <c r="Q75" s="47" t="str">
        <f>集計表!S85</f>
        <v>22</v>
      </c>
      <c r="R75" s="47" t="str">
        <f>集計表!T85</f>
        <v>23</v>
      </c>
      <c r="S75" s="47" t="str">
        <f>集計表!U85</f>
        <v>25</v>
      </c>
      <c r="T75" s="47" t="str">
        <f>集計表!V85</f>
        <v>26</v>
      </c>
      <c r="U75" s="47" t="str">
        <f>集計表!W85</f>
        <v>27</v>
      </c>
      <c r="V75" s="47" t="str">
        <f>集計表!X85</f>
        <v>29</v>
      </c>
      <c r="W75" s="47" t="str">
        <f>集計表!Y85</f>
        <v>30</v>
      </c>
      <c r="X75" s="47" t="str">
        <f>集計表!Z85</f>
        <v>7/2</v>
      </c>
      <c r="Y75" s="47" t="str">
        <f>集計表!AA85</f>
        <v>3</v>
      </c>
      <c r="Z75" s="47" t="str">
        <f>集計表!AB85</f>
        <v>4</v>
      </c>
      <c r="AA75" s="47" t="str">
        <f>集計表!AC85</f>
        <v>6</v>
      </c>
      <c r="AB75" s="47" t="str">
        <f>集計表!AD85</f>
        <v>7</v>
      </c>
      <c r="AC75" s="47" t="str">
        <f>集計表!AE85</f>
        <v>9</v>
      </c>
      <c r="AD75" s="47" t="str">
        <f>集計表!AF85</f>
        <v>10</v>
      </c>
      <c r="AE75" s="47" t="str">
        <f>集計表!AG85</f>
        <v>11</v>
      </c>
      <c r="AF75" s="47" t="str">
        <f>集計表!AH85</f>
        <v>13</v>
      </c>
      <c r="AG75" s="47" t="str">
        <f>集計表!AI85</f>
        <v>14</v>
      </c>
      <c r="AH75" s="47" t="str">
        <f>集計表!AJ85</f>
        <v>16</v>
      </c>
      <c r="AI75" s="47" t="str">
        <f>集計表!AK85</f>
        <v>17</v>
      </c>
      <c r="AJ75" s="47" t="str">
        <f>集計表!AL85</f>
        <v>18</v>
      </c>
      <c r="AK75" s="47" t="str">
        <f>集計表!AM85</f>
        <v>21</v>
      </c>
      <c r="AL75" s="47" t="str">
        <f>集計表!AN85</f>
        <v>23</v>
      </c>
      <c r="AM75" s="47" t="str">
        <f>集計表!AO85</f>
        <v>24</v>
      </c>
      <c r="AN75" s="47" t="str">
        <f>集計表!AP85</f>
        <v>25</v>
      </c>
      <c r="AO75" s="47" t="str">
        <f>集計表!AQ85</f>
        <v>27</v>
      </c>
      <c r="AP75" s="47" t="str">
        <f>集計表!AR85</f>
        <v>28</v>
      </c>
      <c r="AQ75" s="47" t="str">
        <f>集計表!AS85</f>
        <v>30</v>
      </c>
      <c r="AR75" s="47" t="str">
        <f>集計表!AT85</f>
        <v>31</v>
      </c>
    </row>
    <row r="76" spans="1:45" s="42" customFormat="1" ht="13.5" customHeight="1" x14ac:dyDescent="0.2">
      <c r="A76" s="49" t="s">
        <v>0</v>
      </c>
      <c r="B76" s="41">
        <f>IF(集計表!D87="","",集計表!D87)</f>
        <v>32.106999999999999</v>
      </c>
      <c r="C76" s="41">
        <f>IF(集計表!E87="","",集計表!E87)</f>
        <v>21.478999999999999</v>
      </c>
      <c r="D76" s="41">
        <f>IF(集計表!F87="","",集計表!F87)</f>
        <v>23.931000000000001</v>
      </c>
      <c r="E76" s="41">
        <f>IF(集計表!G87="","",集計表!G87)</f>
        <v>14.159000000000001</v>
      </c>
      <c r="F76" s="41">
        <f>IF(集計表!H87="","",集計表!H87)</f>
        <v>17.556999999999999</v>
      </c>
      <c r="G76" s="41">
        <f>IF(集計表!I87="","",集計表!I87)</f>
        <v>31.734000000000002</v>
      </c>
      <c r="H76" s="41">
        <f>IF(集計表!J87="","",集計表!J87)</f>
        <v>22.22</v>
      </c>
      <c r="I76" s="41">
        <f>IF(集計表!K87="","",集計表!K87)</f>
        <v>27.155999999999999</v>
      </c>
      <c r="J76" s="41">
        <f>IF(集計表!L87="","",集計表!L87)</f>
        <v>24.707999999999998</v>
      </c>
      <c r="K76" s="41">
        <f>IF(集計表!M87="","",集計表!M87)</f>
        <v>18.395</v>
      </c>
      <c r="L76" s="41">
        <f>IF(集計表!N87="","",集計表!N87)</f>
        <v>35.850999999999999</v>
      </c>
      <c r="M76" s="41">
        <f>IF(集計表!O87="","",集計表!O87)</f>
        <v>15.196</v>
      </c>
      <c r="N76" s="41">
        <f>IF(集計表!P87="","",集計表!P87)</f>
        <v>26.373000000000001</v>
      </c>
      <c r="O76" s="41">
        <f>IF(集計表!Q87="","",集計表!Q87)</f>
        <v>18.062999999999999</v>
      </c>
      <c r="P76" s="41">
        <f>IF(集計表!R87="","",集計表!R87)</f>
        <v>18.279</v>
      </c>
      <c r="Q76" s="41">
        <f>IF(集計表!S87="","",集計表!S87)</f>
        <v>25.992999999999999</v>
      </c>
      <c r="R76" s="41">
        <f>IF(集計表!T87="","",集計表!T87)</f>
        <v>16.785</v>
      </c>
      <c r="S76" s="41">
        <f>IF(集計表!U87="","",集計表!U87)</f>
        <v>24.57</v>
      </c>
      <c r="T76" s="41">
        <f>IF(集計表!V87="","",集計表!V87)</f>
        <v>15.334</v>
      </c>
      <c r="U76" s="41">
        <f>IF(集計表!W87="","",集計表!W87)</f>
        <v>18.616</v>
      </c>
      <c r="V76" s="41">
        <f>IF(集計表!X87="","",集計表!X87)</f>
        <v>17.738</v>
      </c>
      <c r="W76" s="41">
        <f>IF(集計表!Y87="","",集計表!Y87)</f>
        <v>13.631</v>
      </c>
      <c r="X76" s="41">
        <f>IF(集計表!Z87="","",集計表!Z87)</f>
        <v>22.54</v>
      </c>
      <c r="Y76" s="41">
        <f>IF(集計表!AA87="","",集計表!AA87)</f>
        <v>16.789000000000001</v>
      </c>
      <c r="Z76" s="41">
        <f>IF(集計表!AB87="","",集計表!AB87)</f>
        <v>18.876999999999999</v>
      </c>
      <c r="AA76" s="41">
        <f>IF(集計表!AC87="","",集計表!AC87)</f>
        <v>20.282</v>
      </c>
      <c r="AB76" s="41">
        <f>IF(集計表!AD87="","",集計表!AD87)</f>
        <v>19.337</v>
      </c>
      <c r="AC76" s="41" t="str">
        <f>IF(集計表!AE87="","",集計表!AE87)</f>
        <v/>
      </c>
      <c r="AD76" s="41" t="str">
        <f>IF(集計表!AF87="","",集計表!AF87)</f>
        <v/>
      </c>
      <c r="AE76" s="41" t="str">
        <f>IF(集計表!AG87="","",集計表!AG87)</f>
        <v/>
      </c>
      <c r="AF76" s="41" t="str">
        <f>IF(集計表!AH87="","",集計表!AH87)</f>
        <v/>
      </c>
      <c r="AG76" s="41" t="str">
        <f>IF(集計表!AI87="","",集計表!AI87)</f>
        <v/>
      </c>
      <c r="AH76" s="41" t="str">
        <f>IF(集計表!AJ87="","",集計表!AJ87)</f>
        <v/>
      </c>
      <c r="AI76" s="41" t="str">
        <f>IF(集計表!AK87="","",集計表!AK87)</f>
        <v/>
      </c>
      <c r="AJ76" s="41" t="str">
        <f>IF(集計表!AL87="","",集計表!AL87)</f>
        <v/>
      </c>
      <c r="AK76" s="41" t="str">
        <f>IF(集計表!AM87="","",集計表!AM87)</f>
        <v/>
      </c>
      <c r="AL76" s="41" t="str">
        <f>IF(集計表!AN87="","",集計表!AN87)</f>
        <v/>
      </c>
      <c r="AM76" s="41" t="str">
        <f>IF(集計表!AO87="","",集計表!AO87)</f>
        <v/>
      </c>
      <c r="AN76" s="41" t="str">
        <f>IF(集計表!AP87="","",集計表!AP87)</f>
        <v/>
      </c>
      <c r="AO76" s="41" t="str">
        <f>IF(集計表!AQ87="","",集計表!AQ87)</f>
        <v/>
      </c>
      <c r="AP76" s="41" t="str">
        <f>IF(集計表!AR87="","",集計表!AR87)</f>
        <v/>
      </c>
      <c r="AQ76" s="41" t="str">
        <f>IF(集計表!AS87="","",集計表!AS87)</f>
        <v/>
      </c>
      <c r="AR76" s="41" t="str">
        <f>IF(集計表!AT87="","",集計表!AT87)</f>
        <v/>
      </c>
    </row>
    <row r="77" spans="1:45" s="42" customFormat="1" ht="13.5" customHeight="1" x14ac:dyDescent="0.2">
      <c r="A77" s="49" t="s">
        <v>1</v>
      </c>
      <c r="B77" s="41">
        <f>IF(集計表!D88=0,NA(),集計表!D88)</f>
        <v>388</v>
      </c>
      <c r="C77" s="41">
        <f>IF(集計表!E88=0,NA(),集計表!E88)</f>
        <v>421</v>
      </c>
      <c r="D77" s="41">
        <f>IF(集計表!F88=0,NA(),集計表!F88)</f>
        <v>430</v>
      </c>
      <c r="E77" s="41">
        <f>IF(集計表!G88=0,NA(),集計表!G88)</f>
        <v>531</v>
      </c>
      <c r="F77" s="41">
        <f>IF(集計表!H88=0,NA(),集計表!H88)</f>
        <v>504</v>
      </c>
      <c r="G77" s="41">
        <f>IF(集計表!I88=0,NA(),集計表!I88)</f>
        <v>379</v>
      </c>
      <c r="H77" s="41">
        <f>IF(集計表!J88=0,NA(),集計表!J88)</f>
        <v>421</v>
      </c>
      <c r="I77" s="41">
        <f>IF(集計表!K88=0,NA(),集計表!K88)</f>
        <v>404</v>
      </c>
      <c r="J77" s="41">
        <f>IF(集計表!L88=0,NA(),集計表!L88)</f>
        <v>376</v>
      </c>
      <c r="K77" s="41">
        <f>IF(集計表!M88=0,NA(),集計表!M88)</f>
        <v>450</v>
      </c>
      <c r="L77" s="41">
        <f>IF(集計表!N88=0,NA(),集計表!N88)</f>
        <v>386</v>
      </c>
      <c r="M77" s="41">
        <f>IF(集計表!O88=0,NA(),集計表!O88)</f>
        <v>506</v>
      </c>
      <c r="N77" s="41">
        <f>IF(集計表!P88=0,NA(),集計表!P88)</f>
        <v>459</v>
      </c>
      <c r="O77" s="41">
        <f>IF(集計表!Q88=0,NA(),集計表!Q88)</f>
        <v>476</v>
      </c>
      <c r="P77" s="41">
        <f>IF(集計表!R88=0,NA(),集計表!R88)</f>
        <v>481</v>
      </c>
      <c r="Q77" s="41">
        <f>IF(集計表!S88=0,NA(),集計表!S88)</f>
        <v>447</v>
      </c>
      <c r="R77" s="41">
        <f>IF(集計表!T88=0,NA(),集計表!T88)</f>
        <v>490</v>
      </c>
      <c r="S77" s="41">
        <f>IF(集計表!U88=0,NA(),集計表!U88)</f>
        <v>472</v>
      </c>
      <c r="T77" s="41">
        <f>IF(集計表!V88=0,NA(),集計表!V88)</f>
        <v>496</v>
      </c>
      <c r="U77" s="41">
        <f>IF(集計表!W88=0,NA(),集計表!W88)</f>
        <v>521</v>
      </c>
      <c r="V77" s="41">
        <f>IF(集計表!X88=0,NA(),集計表!X88)</f>
        <v>529</v>
      </c>
      <c r="W77" s="41">
        <f>IF(集計表!Y88=0,NA(),集計表!Y88)</f>
        <v>582</v>
      </c>
      <c r="X77" s="41">
        <f>IF(集計表!Z88=0,NA(),集計表!Z88)</f>
        <v>575</v>
      </c>
      <c r="Y77" s="41">
        <f>IF(集計表!AA88=0,NA(),集計表!AA88)</f>
        <v>570</v>
      </c>
      <c r="Z77" s="41">
        <f>IF(集計表!AB88=0,NA(),集計表!AB88)</f>
        <v>586</v>
      </c>
      <c r="AA77" s="41">
        <f>IF(集計表!AC88=0,NA(),集計表!AC88)</f>
        <v>610</v>
      </c>
      <c r="AB77" s="41">
        <f>IF(集計表!AD88=0,NA(),集計表!AD88)</f>
        <v>603</v>
      </c>
      <c r="AC77" s="41" t="e">
        <f>IF(集計表!AE88=0,NA(),集計表!AE88)</f>
        <v>#N/A</v>
      </c>
      <c r="AD77" s="41" t="e">
        <f>IF(集計表!AF88=0,NA(),集計表!AF88)</f>
        <v>#N/A</v>
      </c>
      <c r="AE77" s="41" t="e">
        <f>IF(集計表!AG88=0,NA(),集計表!AG88)</f>
        <v>#N/A</v>
      </c>
      <c r="AF77" s="41" t="e">
        <f>IF(集計表!AH88=0,NA(),集計表!AH88)</f>
        <v>#N/A</v>
      </c>
      <c r="AG77" s="41" t="e">
        <f>IF(集計表!AI88=0,NA(),集計表!AI88)</f>
        <v>#N/A</v>
      </c>
      <c r="AH77" s="41" t="e">
        <f>IF(集計表!AJ88=0,NA(),集計表!AJ88)</f>
        <v>#N/A</v>
      </c>
      <c r="AI77" s="41" t="e">
        <f>IF(集計表!AK88=0,NA(),集計表!AK88)</f>
        <v>#N/A</v>
      </c>
      <c r="AJ77" s="41" t="e">
        <f>IF(集計表!AL88=0,NA(),集計表!AL88)</f>
        <v>#N/A</v>
      </c>
      <c r="AK77" s="41" t="e">
        <f>IF(集計表!AM88=0,NA(),集計表!AM88)</f>
        <v>#N/A</v>
      </c>
      <c r="AL77" s="41" t="e">
        <f>IF(集計表!AN88=0,NA(),集計表!AN88)</f>
        <v>#N/A</v>
      </c>
      <c r="AM77" s="41" t="e">
        <f>IF(集計表!AO88=0,NA(),集計表!AO88)</f>
        <v>#N/A</v>
      </c>
      <c r="AN77" s="41" t="e">
        <f>IF(集計表!AP88=0,NA(),集計表!AP88)</f>
        <v>#N/A</v>
      </c>
      <c r="AO77" s="41" t="e">
        <f>IF(集計表!AQ88=0,NA(),集計表!AQ88)</f>
        <v>#N/A</v>
      </c>
      <c r="AP77" s="41" t="e">
        <f>IF(集計表!AR88=0,NA(),集計表!AR88)</f>
        <v>#N/A</v>
      </c>
      <c r="AQ77" s="41" t="e">
        <f>IF(集計表!AS88=0,NA(),集計表!AS88)</f>
        <v>#N/A</v>
      </c>
      <c r="AR77" s="41" t="e">
        <f>IF(集計表!AT88=0,NA(),集計表!AT88)</f>
        <v>#N/A</v>
      </c>
    </row>
    <row r="78" spans="1:45" s="42" customFormat="1" ht="13.5" customHeight="1" x14ac:dyDescent="0.2">
      <c r="A78" s="49" t="s">
        <v>2</v>
      </c>
      <c r="B78" s="32">
        <f>集計表!D89</f>
        <v>420</v>
      </c>
      <c r="C78" s="32">
        <f>集計表!E89</f>
        <v>420</v>
      </c>
      <c r="D78" s="32">
        <f>集計表!F89</f>
        <v>420</v>
      </c>
      <c r="E78" s="32">
        <f>集計表!G89</f>
        <v>420</v>
      </c>
      <c r="F78" s="32">
        <f>集計表!H89</f>
        <v>420</v>
      </c>
      <c r="G78" s="32">
        <f>集計表!I89</f>
        <v>420</v>
      </c>
      <c r="H78" s="32">
        <f>集計表!J89</f>
        <v>420</v>
      </c>
      <c r="I78" s="32">
        <f>集計表!K89</f>
        <v>456</v>
      </c>
      <c r="J78" s="32">
        <f>集計表!L89</f>
        <v>456</v>
      </c>
      <c r="K78" s="32">
        <f>集計表!M89</f>
        <v>456</v>
      </c>
      <c r="L78" s="32">
        <f>集計表!N89</f>
        <v>456</v>
      </c>
      <c r="M78" s="32">
        <f>集計表!O89</f>
        <v>456</v>
      </c>
      <c r="N78" s="32">
        <f>集計表!P89</f>
        <v>456</v>
      </c>
      <c r="O78" s="32">
        <f>集計表!Q89</f>
        <v>456</v>
      </c>
      <c r="P78" s="32">
        <f>集計表!R89</f>
        <v>456</v>
      </c>
      <c r="Q78" s="32">
        <f>集計表!S89</f>
        <v>456</v>
      </c>
      <c r="R78" s="32">
        <f>集計表!T89</f>
        <v>456</v>
      </c>
      <c r="S78" s="32">
        <f>集計表!U89</f>
        <v>456</v>
      </c>
      <c r="T78" s="32">
        <f>集計表!V89</f>
        <v>456</v>
      </c>
      <c r="U78" s="32">
        <f>集計表!W89</f>
        <v>456</v>
      </c>
      <c r="V78" s="32">
        <f>集計表!X89</f>
        <v>456</v>
      </c>
      <c r="W78" s="32">
        <f>集計表!Y89</f>
        <v>456</v>
      </c>
      <c r="X78" s="32">
        <f>集計表!Z89</f>
        <v>438</v>
      </c>
      <c r="Y78" s="32">
        <f>集計表!AA89</f>
        <v>438</v>
      </c>
      <c r="Z78" s="32">
        <f>集計表!AB89</f>
        <v>438</v>
      </c>
      <c r="AA78" s="32">
        <f>集計表!AC89</f>
        <v>438</v>
      </c>
      <c r="AB78" s="32">
        <f>集計表!AD89</f>
        <v>438</v>
      </c>
      <c r="AC78" s="32">
        <f>集計表!AE89</f>
        <v>438</v>
      </c>
      <c r="AD78" s="32">
        <f>集計表!AF89</f>
        <v>438</v>
      </c>
      <c r="AE78" s="32">
        <f>集計表!AG89</f>
        <v>461</v>
      </c>
      <c r="AF78" s="32">
        <f>集計表!AH89</f>
        <v>461</v>
      </c>
      <c r="AG78" s="32">
        <f>集計表!AI89</f>
        <v>461</v>
      </c>
      <c r="AH78" s="32">
        <f>集計表!AJ89</f>
        <v>461</v>
      </c>
      <c r="AI78" s="32">
        <f>集計表!AK89</f>
        <v>461</v>
      </c>
      <c r="AJ78" s="32">
        <f>集計表!AL89</f>
        <v>461</v>
      </c>
      <c r="AK78" s="32">
        <f>集計表!AM89</f>
        <v>468</v>
      </c>
      <c r="AL78" s="32">
        <f>集計表!AN89</f>
        <v>468</v>
      </c>
      <c r="AM78" s="32">
        <f>集計表!AO89</f>
        <v>468</v>
      </c>
      <c r="AN78" s="32">
        <f>集計表!AP89</f>
        <v>468</v>
      </c>
      <c r="AO78" s="32">
        <f>集計表!AQ89</f>
        <v>468</v>
      </c>
      <c r="AP78" s="32">
        <f>集計表!AR89</f>
        <v>468</v>
      </c>
      <c r="AQ78" s="32">
        <f>集計表!AS89</f>
        <v>468</v>
      </c>
      <c r="AR78" s="32">
        <f>集計表!AT89</f>
        <v>468</v>
      </c>
    </row>
    <row r="79" spans="1:45" s="42" customFormat="1" ht="13.5" customHeight="1" x14ac:dyDescent="0.2">
      <c r="A79" s="50" t="s">
        <v>23</v>
      </c>
      <c r="B79" s="51">
        <f>IFERROR(B77/B78, "")</f>
        <v>0.92380952380952386</v>
      </c>
      <c r="C79" s="51">
        <f t="shared" ref="C79:AM79" si="4">IFERROR(C77/C78, "")</f>
        <v>1.0023809523809524</v>
      </c>
      <c r="D79" s="51">
        <f t="shared" si="4"/>
        <v>1.0238095238095237</v>
      </c>
      <c r="E79" s="51">
        <f t="shared" si="4"/>
        <v>1.2642857142857142</v>
      </c>
      <c r="F79" s="51">
        <f t="shared" si="4"/>
        <v>1.2</v>
      </c>
      <c r="G79" s="51">
        <f t="shared" si="4"/>
        <v>0.90238095238095239</v>
      </c>
      <c r="H79" s="51">
        <f t="shared" si="4"/>
        <v>1.0023809523809524</v>
      </c>
      <c r="I79" s="51">
        <f t="shared" si="4"/>
        <v>0.88596491228070173</v>
      </c>
      <c r="J79" s="51">
        <f t="shared" si="4"/>
        <v>0.82456140350877194</v>
      </c>
      <c r="K79" s="51">
        <f t="shared" si="4"/>
        <v>0.98684210526315785</v>
      </c>
      <c r="L79" s="51">
        <f t="shared" si="4"/>
        <v>0.84649122807017541</v>
      </c>
      <c r="M79" s="51">
        <f t="shared" si="4"/>
        <v>1.1096491228070176</v>
      </c>
      <c r="N79" s="51">
        <f t="shared" si="4"/>
        <v>1.006578947368421</v>
      </c>
      <c r="O79" s="51">
        <f t="shared" si="4"/>
        <v>1.0438596491228069</v>
      </c>
      <c r="P79" s="51">
        <f t="shared" si="4"/>
        <v>1.0548245614035088</v>
      </c>
      <c r="Q79" s="51">
        <f t="shared" si="4"/>
        <v>0.98026315789473684</v>
      </c>
      <c r="R79" s="51">
        <f t="shared" si="4"/>
        <v>1.0745614035087718</v>
      </c>
      <c r="S79" s="51">
        <f t="shared" si="4"/>
        <v>1.0350877192982457</v>
      </c>
      <c r="T79" s="51">
        <f t="shared" si="4"/>
        <v>1.0877192982456141</v>
      </c>
      <c r="U79" s="51">
        <f t="shared" si="4"/>
        <v>1.1425438596491229</v>
      </c>
      <c r="V79" s="51">
        <f t="shared" si="4"/>
        <v>1.1600877192982457</v>
      </c>
      <c r="W79" s="51">
        <f t="shared" si="4"/>
        <v>1.2763157894736843</v>
      </c>
      <c r="X79" s="51">
        <f t="shared" si="4"/>
        <v>1.3127853881278539</v>
      </c>
      <c r="Y79" s="51">
        <f t="shared" si="4"/>
        <v>1.3013698630136987</v>
      </c>
      <c r="Z79" s="51">
        <f t="shared" si="4"/>
        <v>1.3378995433789955</v>
      </c>
      <c r="AA79" s="51">
        <f t="shared" si="4"/>
        <v>1.3926940639269407</v>
      </c>
      <c r="AB79" s="51">
        <f t="shared" si="4"/>
        <v>1.3767123287671232</v>
      </c>
      <c r="AC79" s="51" t="str">
        <f t="shared" si="4"/>
        <v/>
      </c>
      <c r="AD79" s="51" t="str">
        <f t="shared" si="4"/>
        <v/>
      </c>
      <c r="AE79" s="51" t="str">
        <f t="shared" si="4"/>
        <v/>
      </c>
      <c r="AF79" s="51" t="str">
        <f t="shared" si="4"/>
        <v/>
      </c>
      <c r="AG79" s="51" t="str">
        <f t="shared" si="4"/>
        <v/>
      </c>
      <c r="AH79" s="51" t="str">
        <f t="shared" si="4"/>
        <v/>
      </c>
      <c r="AI79" s="51" t="str">
        <f t="shared" si="4"/>
        <v/>
      </c>
      <c r="AJ79" s="51" t="str">
        <f t="shared" si="4"/>
        <v/>
      </c>
      <c r="AK79" s="51" t="str">
        <f t="shared" si="4"/>
        <v/>
      </c>
      <c r="AL79" s="51" t="str">
        <f t="shared" si="4"/>
        <v/>
      </c>
      <c r="AM79" s="51" t="str">
        <f t="shared" si="4"/>
        <v/>
      </c>
      <c r="AN79" s="51" t="str">
        <f t="shared" ref="AN79:AO79" si="5">IFERROR(AN77/AN78, "")</f>
        <v/>
      </c>
      <c r="AO79" s="51" t="str">
        <f t="shared" si="5"/>
        <v/>
      </c>
      <c r="AP79" s="51" t="str">
        <f t="shared" ref="AP79:AQ79" si="6">IFERROR(AP77/AP78, "")</f>
        <v/>
      </c>
      <c r="AQ79" s="51" t="str">
        <f t="shared" si="6"/>
        <v/>
      </c>
      <c r="AR79" s="51" t="str">
        <f t="shared" ref="AR79" si="7">IFERROR(AR77/AR78, "")</f>
        <v/>
      </c>
    </row>
    <row r="80" spans="1:45" s="33" customFormat="1" ht="30" customHeight="1" x14ac:dyDescent="0.2">
      <c r="A80" s="33" t="s">
        <v>24</v>
      </c>
      <c r="B80" s="34"/>
      <c r="C80" s="34"/>
      <c r="D80" s="35"/>
      <c r="E80" s="34"/>
      <c r="F80" s="36"/>
      <c r="G80" s="34"/>
      <c r="H80" s="34"/>
      <c r="I80" s="34"/>
      <c r="J80" s="34"/>
      <c r="K80" s="37"/>
      <c r="L80" s="34"/>
      <c r="M80" s="37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Q80"/>
      <c r="AR80"/>
      <c r="AS80"/>
    </row>
    <row r="81" spans="1:15" ht="15.6" x14ac:dyDescent="0.2">
      <c r="A81" s="19" t="s">
        <v>15</v>
      </c>
      <c r="B81" s="10"/>
      <c r="C81" s="10"/>
      <c r="D81" s="10"/>
      <c r="E81" s="10"/>
      <c r="F81" s="10"/>
      <c r="G81" s="10"/>
      <c r="H81" s="10"/>
      <c r="I81" s="10"/>
      <c r="J81" s="10"/>
      <c r="L81" s="10" t="str">
        <f>TEXT(集計表!$C$1,"(e.m/d～)")</f>
        <v>(8.6/1～)</v>
      </c>
      <c r="M81" s="10"/>
      <c r="N81" s="10"/>
      <c r="O81" s="10"/>
    </row>
    <row r="82" spans="1:15" ht="15.6" x14ac:dyDescent="0.2">
      <c r="A82" s="19" t="s">
        <v>18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109" ht="13.5" customHeight="1" x14ac:dyDescent="0.2"/>
    <row r="112" ht="13.5" customHeight="1" x14ac:dyDescent="0.2"/>
    <row r="113" spans="1:44" ht="13.5" customHeight="1" x14ac:dyDescent="0.2"/>
    <row r="114" spans="1:44" s="39" customFormat="1" ht="16.2" customHeight="1" x14ac:dyDescent="0.2">
      <c r="B114" s="38"/>
      <c r="C114" s="38"/>
      <c r="D114" s="40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40"/>
      <c r="S114" s="38"/>
      <c r="T114" s="38"/>
      <c r="U114" s="38"/>
      <c r="V114" s="38"/>
      <c r="W114" s="38"/>
      <c r="X114" s="38"/>
      <c r="Y114" s="38"/>
      <c r="Z114" s="38"/>
      <c r="AA114" s="40"/>
      <c r="AB114" s="38"/>
      <c r="AC114" s="38"/>
      <c r="AD114" s="38"/>
      <c r="AE114" s="38"/>
      <c r="AF114" s="62"/>
      <c r="AG114" s="38"/>
      <c r="AH114" s="38"/>
      <c r="AI114" s="38"/>
      <c r="AJ114" s="44"/>
      <c r="AL114" s="38"/>
      <c r="AM114" s="38"/>
      <c r="AN114" s="44"/>
      <c r="AO114" s="38"/>
      <c r="AP114" s="38"/>
      <c r="AQ114" s="38"/>
      <c r="AR114" s="38"/>
    </row>
    <row r="115" spans="1:44" ht="13.5" customHeight="1" x14ac:dyDescent="0.2">
      <c r="A115" s="45">
        <f>集計表!C91</f>
        <v>46174</v>
      </c>
      <c r="B115" s="58" t="str">
        <f>集計表!D91</f>
        <v>6/1</v>
      </c>
      <c r="C115" s="47" t="str">
        <f>集計表!E91</f>
        <v>2</v>
      </c>
      <c r="D115" s="48" t="str">
        <f>集計表!F91</f>
        <v>4</v>
      </c>
      <c r="E115" s="47" t="str">
        <f>集計表!G91</f>
        <v>5</v>
      </c>
      <c r="F115" s="47" t="str">
        <f>集計表!H91</f>
        <v>6</v>
      </c>
      <c r="G115" s="47" t="str">
        <f>集計表!I91</f>
        <v>8</v>
      </c>
      <c r="H115" s="47" t="str">
        <f>集計表!J91</f>
        <v>9</v>
      </c>
      <c r="I115" s="47" t="str">
        <f>集計表!K91</f>
        <v>11</v>
      </c>
      <c r="J115" s="47" t="str">
        <f>集計表!L91</f>
        <v>12</v>
      </c>
      <c r="K115" s="47" t="str">
        <f>集計表!M91</f>
        <v>13</v>
      </c>
      <c r="L115" s="47" t="str">
        <f>集計表!N91</f>
        <v>15</v>
      </c>
      <c r="M115" s="47" t="str">
        <f>集計表!O91</f>
        <v>16</v>
      </c>
      <c r="N115" s="47" t="str">
        <f>集計表!P91</f>
        <v>18</v>
      </c>
      <c r="O115" s="47" t="str">
        <f>集計表!Q91</f>
        <v>19</v>
      </c>
      <c r="P115" s="47" t="str">
        <f>集計表!R91</f>
        <v>20</v>
      </c>
      <c r="Q115" s="47" t="str">
        <f>集計表!S91</f>
        <v>22</v>
      </c>
      <c r="R115" s="47" t="str">
        <f>集計表!T91</f>
        <v>23</v>
      </c>
      <c r="S115" s="47" t="str">
        <f>集計表!U91</f>
        <v>25</v>
      </c>
      <c r="T115" s="47" t="str">
        <f>集計表!V91</f>
        <v>26</v>
      </c>
      <c r="U115" s="47" t="str">
        <f>集計表!W91</f>
        <v>27</v>
      </c>
      <c r="V115" s="47" t="str">
        <f>集計表!X91</f>
        <v>29</v>
      </c>
      <c r="W115" s="47" t="str">
        <f>集計表!Y91</f>
        <v>30</v>
      </c>
      <c r="X115" s="47" t="str">
        <f>集計表!Z91</f>
        <v>7/2</v>
      </c>
      <c r="Y115" s="47" t="str">
        <f>集計表!AA91</f>
        <v>3</v>
      </c>
      <c r="Z115" s="47" t="str">
        <f>集計表!AB91</f>
        <v>4</v>
      </c>
      <c r="AA115" s="47" t="str">
        <f>集計表!AC91</f>
        <v>6</v>
      </c>
      <c r="AB115" s="47" t="str">
        <f>集計表!AD91</f>
        <v>7</v>
      </c>
      <c r="AC115" s="47" t="str">
        <f>集計表!AE91</f>
        <v>9</v>
      </c>
      <c r="AD115" s="47" t="str">
        <f>集計表!AF91</f>
        <v>10</v>
      </c>
      <c r="AE115" s="47" t="str">
        <f>集計表!AG91</f>
        <v>11</v>
      </c>
      <c r="AF115" s="47" t="str">
        <f>集計表!AH91</f>
        <v>13</v>
      </c>
      <c r="AG115" s="47" t="str">
        <f>集計表!AI91</f>
        <v>14</v>
      </c>
      <c r="AH115" s="47" t="str">
        <f>集計表!AJ91</f>
        <v>16</v>
      </c>
      <c r="AI115" s="47" t="str">
        <f>集計表!AK91</f>
        <v>17</v>
      </c>
      <c r="AJ115" s="47" t="str">
        <f>集計表!AL91</f>
        <v>18</v>
      </c>
      <c r="AK115" s="47" t="str">
        <f>集計表!AM91</f>
        <v>21</v>
      </c>
      <c r="AL115" s="47" t="str">
        <f>集計表!AN91</f>
        <v>23</v>
      </c>
      <c r="AM115" s="47" t="str">
        <f>集計表!AO91</f>
        <v>24</v>
      </c>
      <c r="AN115" s="47" t="str">
        <f>集計表!AP91</f>
        <v>25</v>
      </c>
      <c r="AO115" s="47" t="str">
        <f>集計表!AQ91</f>
        <v>27</v>
      </c>
      <c r="AP115" s="47" t="str">
        <f>集計表!AR91</f>
        <v>28</v>
      </c>
      <c r="AQ115" s="47" t="str">
        <f>集計表!AS91</f>
        <v>30</v>
      </c>
      <c r="AR115" s="47" t="str">
        <f>集計表!AT91</f>
        <v>31</v>
      </c>
    </row>
    <row r="116" spans="1:44" s="42" customFormat="1" ht="13.5" customHeight="1" x14ac:dyDescent="0.2">
      <c r="A116" s="49" t="s">
        <v>0</v>
      </c>
      <c r="B116" s="41">
        <f>IF(集計表!D93="","",集計表!D93)</f>
        <v>42.332999999999998</v>
      </c>
      <c r="C116" s="41">
        <f>IF(集計表!E93="","",集計表!E93)</f>
        <v>31.61</v>
      </c>
      <c r="D116" s="41">
        <f>IF(集計表!F93="","",集計表!F93)</f>
        <v>26.311</v>
      </c>
      <c r="E116" s="41">
        <f>IF(集計表!G93="","",集計表!G93)</f>
        <v>27.863</v>
      </c>
      <c r="F116" s="41">
        <f>IF(集計表!H93="","",集計表!H93)</f>
        <v>30.655000000000001</v>
      </c>
      <c r="G116" s="41">
        <f>IF(集計表!I93="","",集計表!I93)</f>
        <v>43.154000000000003</v>
      </c>
      <c r="H116" s="41">
        <f>IF(集計表!J93="","",集計表!J93)</f>
        <v>31.635000000000002</v>
      </c>
      <c r="I116" s="41">
        <f>IF(集計表!K93="","",集計表!K93)</f>
        <v>45.91</v>
      </c>
      <c r="J116" s="41">
        <f>IF(集計表!L93="","",集計表!L93)</f>
        <v>32.161000000000001</v>
      </c>
      <c r="K116" s="41">
        <f>IF(集計表!M93="","",集計表!M93)</f>
        <v>33.676000000000002</v>
      </c>
      <c r="L116" s="41">
        <f>IF(集計表!N93="","",集計表!N93)</f>
        <v>35.268000000000001</v>
      </c>
      <c r="M116" s="41">
        <f>IF(集計表!O93="","",集計表!O93)</f>
        <v>25.446999999999999</v>
      </c>
      <c r="N116" s="41">
        <f>IF(集計表!P93="","",集計表!P93)</f>
        <v>35.139000000000003</v>
      </c>
      <c r="O116" s="41">
        <f>IF(集計表!Q93="","",集計表!Q93)</f>
        <v>22.234999999999999</v>
      </c>
      <c r="P116" s="41">
        <f>IF(集計表!R93="","",集計表!R93)</f>
        <v>35.116999999999997</v>
      </c>
      <c r="Q116" s="41">
        <f>IF(集計表!S93="","",集計表!S93)</f>
        <v>39.225000000000001</v>
      </c>
      <c r="R116" s="41">
        <f>IF(集計表!T93="","",集計表!T93)</f>
        <v>24.76</v>
      </c>
      <c r="S116" s="41">
        <f>IF(集計表!U93="","",集計表!U93)</f>
        <v>36.052</v>
      </c>
      <c r="T116" s="41">
        <f>IF(集計表!V93="","",集計表!V93)</f>
        <v>20.899000000000001</v>
      </c>
      <c r="U116" s="41">
        <f>IF(集計表!W93="","",集計表!W93)</f>
        <v>20.57</v>
      </c>
      <c r="V116" s="41">
        <f>IF(集計表!X93="","",集計表!X93)</f>
        <v>23.574999999999999</v>
      </c>
      <c r="W116" s="41">
        <f>IF(集計表!Y93="","",集計表!Y93)</f>
        <v>19.077000000000002</v>
      </c>
      <c r="X116" s="41">
        <f>IF(集計表!Z93="","",集計表!Z93)</f>
        <v>29.120999999999999</v>
      </c>
      <c r="Y116" s="41">
        <f>IF(集計表!AA93="","",集計表!AA93)</f>
        <v>20.411000000000001</v>
      </c>
      <c r="Z116" s="41">
        <f>IF(集計表!AB93="","",集計表!AB93)</f>
        <v>27.827000000000002</v>
      </c>
      <c r="AA116" s="41">
        <f>IF(集計表!AC93="","",集計表!AC93)</f>
        <v>32.720999999999997</v>
      </c>
      <c r="AB116" s="41">
        <f>IF(集計表!AD93="","",集計表!AD93)</f>
        <v>23.75</v>
      </c>
      <c r="AC116" s="41" t="str">
        <f>IF(集計表!AE93="","",集計表!AE93)</f>
        <v/>
      </c>
      <c r="AD116" s="41" t="str">
        <f>IF(集計表!AF93="","",集計表!AF93)</f>
        <v/>
      </c>
      <c r="AE116" s="41" t="str">
        <f>IF(集計表!AG93="","",集計表!AG93)</f>
        <v/>
      </c>
      <c r="AF116" s="41" t="str">
        <f>IF(集計表!AH93="","",集計表!AH93)</f>
        <v/>
      </c>
      <c r="AG116" s="41" t="str">
        <f>IF(集計表!AI93="","",集計表!AI93)</f>
        <v/>
      </c>
      <c r="AH116" s="41" t="str">
        <f>IF(集計表!AJ93="","",集計表!AJ93)</f>
        <v/>
      </c>
      <c r="AI116" s="41" t="str">
        <f>IF(集計表!AK93="","",集計表!AK93)</f>
        <v/>
      </c>
      <c r="AJ116" s="41" t="str">
        <f>IF(集計表!AL93="","",集計表!AL93)</f>
        <v/>
      </c>
      <c r="AK116" s="41" t="str">
        <f>IF(集計表!AM93="","",集計表!AM93)</f>
        <v/>
      </c>
      <c r="AL116" s="41" t="str">
        <f>IF(集計表!AN93="","",集計表!AN93)</f>
        <v/>
      </c>
      <c r="AM116" s="41" t="str">
        <f>IF(集計表!AO93="","",集計表!AO93)</f>
        <v/>
      </c>
      <c r="AN116" s="41" t="str">
        <f>IF(集計表!AP93="","",集計表!AP93)</f>
        <v/>
      </c>
      <c r="AO116" s="41" t="str">
        <f>IF(集計表!AQ93="","",集計表!AQ93)</f>
        <v/>
      </c>
      <c r="AP116" s="41" t="str">
        <f>IF(集計表!AR93="","",集計表!AR93)</f>
        <v/>
      </c>
      <c r="AQ116" s="41" t="str">
        <f>IF(集計表!AS93="","",集計表!AS93)</f>
        <v/>
      </c>
      <c r="AR116" s="41" t="str">
        <f>IF(集計表!AT93="","",集計表!AT93)</f>
        <v/>
      </c>
    </row>
    <row r="117" spans="1:44" s="42" customFormat="1" x14ac:dyDescent="0.2">
      <c r="A117" s="49" t="s">
        <v>1</v>
      </c>
      <c r="B117" s="41">
        <f>IF(集計表!D94=0,NA(),集計表!D94)</f>
        <v>366</v>
      </c>
      <c r="C117" s="41">
        <f>IF(集計表!E94=0,NA(),集計表!E94)</f>
        <v>345</v>
      </c>
      <c r="D117" s="41">
        <f>IF(集計表!F94=0,NA(),集計表!F94)</f>
        <v>382</v>
      </c>
      <c r="E117" s="41">
        <f>IF(集計表!G94=0,NA(),集計表!G94)</f>
        <v>376</v>
      </c>
      <c r="F117" s="41">
        <f>IF(集計表!H94=0,NA(),集計表!H94)</f>
        <v>370</v>
      </c>
      <c r="G117" s="41">
        <f>IF(集計表!I94=0,NA(),集計表!I94)</f>
        <v>335</v>
      </c>
      <c r="H117" s="41">
        <f>IF(集計表!J94=0,NA(),集計表!J94)</f>
        <v>368</v>
      </c>
      <c r="I117" s="41">
        <f>IF(集計表!K94=0,NA(),集計表!K94)</f>
        <v>350</v>
      </c>
      <c r="J117" s="41">
        <f>IF(集計表!L94=0,NA(),集計表!L94)</f>
        <v>319</v>
      </c>
      <c r="K117" s="41">
        <f>IF(集計表!M94=0,NA(),集計表!M94)</f>
        <v>328</v>
      </c>
      <c r="L117" s="41">
        <f>IF(集計表!N94=0,NA(),集計表!N94)</f>
        <v>347</v>
      </c>
      <c r="M117" s="41">
        <f>IF(集計表!O94=0,NA(),集計表!O94)</f>
        <v>386</v>
      </c>
      <c r="N117" s="41">
        <f>IF(集計表!P94=0,NA(),集計表!P94)</f>
        <v>413</v>
      </c>
      <c r="O117" s="41">
        <f>IF(集計表!Q94=0,NA(),集計表!Q94)</f>
        <v>434</v>
      </c>
      <c r="P117" s="41">
        <f>IF(集計表!R94=0,NA(),集計表!R94)</f>
        <v>417</v>
      </c>
      <c r="Q117" s="41">
        <f>IF(集計表!S94=0,NA(),集計表!S94)</f>
        <v>415</v>
      </c>
      <c r="R117" s="41">
        <f>IF(集計表!T94=0,NA(),集計表!T94)</f>
        <v>470</v>
      </c>
      <c r="S117" s="41">
        <f>IF(集計表!U94=0,NA(),集計表!U94)</f>
        <v>492</v>
      </c>
      <c r="T117" s="41">
        <f>IF(集計表!V94=0,NA(),集計表!V94)</f>
        <v>495</v>
      </c>
      <c r="U117" s="41">
        <f>IF(集計表!W94=0,NA(),集計表!W94)</f>
        <v>474</v>
      </c>
      <c r="V117" s="41">
        <f>IF(集計表!X94=0,NA(),集計表!X94)</f>
        <v>504</v>
      </c>
      <c r="W117" s="41">
        <f>IF(集計表!Y94=0,NA(),集計表!Y94)</f>
        <v>552</v>
      </c>
      <c r="X117" s="41">
        <f>IF(集計表!Z94=0,NA(),集計表!Z94)</f>
        <v>533</v>
      </c>
      <c r="Y117" s="41">
        <f>IF(集計表!AA94=0,NA(),集計表!AA94)</f>
        <v>548</v>
      </c>
      <c r="Z117" s="41">
        <f>IF(集計表!AB94=0,NA(),集計表!AB94)</f>
        <v>552</v>
      </c>
      <c r="AA117" s="41">
        <f>IF(集計表!AC94=0,NA(),集計表!AC94)</f>
        <v>542</v>
      </c>
      <c r="AB117" s="41">
        <f>IF(集計表!AD94=0,NA(),集計表!AD94)</f>
        <v>576</v>
      </c>
      <c r="AC117" s="41" t="e">
        <f>IF(集計表!AE94=0,NA(),集計表!AE94)</f>
        <v>#N/A</v>
      </c>
      <c r="AD117" s="41" t="e">
        <f>IF(集計表!AF94=0,NA(),集計表!AF94)</f>
        <v>#N/A</v>
      </c>
      <c r="AE117" s="41" t="e">
        <f>IF(集計表!AG94=0,NA(),集計表!AG94)</f>
        <v>#N/A</v>
      </c>
      <c r="AF117" s="41" t="e">
        <f>IF(集計表!AH94=0,NA(),集計表!AH94)</f>
        <v>#N/A</v>
      </c>
      <c r="AG117" s="41" t="e">
        <f>IF(集計表!AI94=0,NA(),集計表!AI94)</f>
        <v>#N/A</v>
      </c>
      <c r="AH117" s="41" t="e">
        <f>IF(集計表!AJ94=0,NA(),集計表!AJ94)</f>
        <v>#N/A</v>
      </c>
      <c r="AI117" s="41" t="e">
        <f>IF(集計表!AK94=0,NA(),集計表!AK94)</f>
        <v>#N/A</v>
      </c>
      <c r="AJ117" s="41" t="e">
        <f>IF(集計表!AL94=0,NA(),集計表!AL94)</f>
        <v>#N/A</v>
      </c>
      <c r="AK117" s="41" t="e">
        <f>IF(集計表!AM94=0,NA(),集計表!AM94)</f>
        <v>#N/A</v>
      </c>
      <c r="AL117" s="41" t="e">
        <f>IF(集計表!AN94=0,NA(),集計表!AN94)</f>
        <v>#N/A</v>
      </c>
      <c r="AM117" s="41" t="e">
        <f>IF(集計表!AO94=0,NA(),集計表!AO94)</f>
        <v>#N/A</v>
      </c>
      <c r="AN117" s="41" t="e">
        <f>IF(集計表!AP94=0,NA(),集計表!AP94)</f>
        <v>#N/A</v>
      </c>
      <c r="AO117" s="41" t="e">
        <f>IF(集計表!AQ94=0,NA(),集計表!AQ94)</f>
        <v>#N/A</v>
      </c>
      <c r="AP117" s="41" t="e">
        <f>IF(集計表!AR94=0,NA(),集計表!AR94)</f>
        <v>#N/A</v>
      </c>
      <c r="AQ117" s="41" t="e">
        <f>IF(集計表!AS94=0,NA(),集計表!AS94)</f>
        <v>#N/A</v>
      </c>
      <c r="AR117" s="41" t="e">
        <f>IF(集計表!AT94=0,NA(),集計表!AT94)</f>
        <v>#N/A</v>
      </c>
    </row>
    <row r="118" spans="1:44" s="42" customFormat="1" x14ac:dyDescent="0.2">
      <c r="A118" s="49" t="s">
        <v>2</v>
      </c>
      <c r="B118" s="32">
        <f>集計表!D95</f>
        <v>378</v>
      </c>
      <c r="C118" s="32">
        <f>集計表!E95</f>
        <v>378</v>
      </c>
      <c r="D118" s="32">
        <f>集計表!F95</f>
        <v>378</v>
      </c>
      <c r="E118" s="32">
        <f>集計表!G95</f>
        <v>378</v>
      </c>
      <c r="F118" s="32">
        <f>集計表!H95</f>
        <v>378</v>
      </c>
      <c r="G118" s="32">
        <f>集計表!I95</f>
        <v>378</v>
      </c>
      <c r="H118" s="32">
        <f>集計表!J95</f>
        <v>378</v>
      </c>
      <c r="I118" s="32">
        <f>集計表!K95</f>
        <v>425</v>
      </c>
      <c r="J118" s="32">
        <f>集計表!L95</f>
        <v>425</v>
      </c>
      <c r="K118" s="32">
        <f>集計表!M95</f>
        <v>425</v>
      </c>
      <c r="L118" s="32">
        <f>集計表!N95</f>
        <v>425</v>
      </c>
      <c r="M118" s="32">
        <f>集計表!O95</f>
        <v>425</v>
      </c>
      <c r="N118" s="32">
        <f>集計表!P95</f>
        <v>425</v>
      </c>
      <c r="O118" s="32">
        <f>集計表!Q95</f>
        <v>425</v>
      </c>
      <c r="P118" s="32">
        <f>集計表!R95</f>
        <v>425</v>
      </c>
      <c r="Q118" s="32">
        <f>集計表!S95</f>
        <v>415</v>
      </c>
      <c r="R118" s="32">
        <f>集計表!T95</f>
        <v>415</v>
      </c>
      <c r="S118" s="32">
        <f>集計表!U95</f>
        <v>415</v>
      </c>
      <c r="T118" s="32">
        <f>集計表!V95</f>
        <v>415</v>
      </c>
      <c r="U118" s="32">
        <f>集計表!W95</f>
        <v>415</v>
      </c>
      <c r="V118" s="32">
        <f>集計表!X95</f>
        <v>415</v>
      </c>
      <c r="W118" s="32">
        <f>集計表!Y95</f>
        <v>415</v>
      </c>
      <c r="X118" s="32">
        <f>集計表!Z95</f>
        <v>406</v>
      </c>
      <c r="Y118" s="32">
        <f>集計表!AA95</f>
        <v>406</v>
      </c>
      <c r="Z118" s="32">
        <f>集計表!AB95</f>
        <v>406</v>
      </c>
      <c r="AA118" s="32">
        <f>集計表!AC95</f>
        <v>406</v>
      </c>
      <c r="AB118" s="32">
        <f>集計表!AD95</f>
        <v>406</v>
      </c>
      <c r="AC118" s="32">
        <f>集計表!AE95</f>
        <v>406</v>
      </c>
      <c r="AD118" s="32">
        <f>集計表!AF95</f>
        <v>406</v>
      </c>
      <c r="AE118" s="32">
        <f>集計表!AG95</f>
        <v>416</v>
      </c>
      <c r="AF118" s="32">
        <f>集計表!AH95</f>
        <v>416</v>
      </c>
      <c r="AG118" s="32">
        <f>集計表!AI95</f>
        <v>416</v>
      </c>
      <c r="AH118" s="32">
        <f>集計表!AJ95</f>
        <v>416</v>
      </c>
      <c r="AI118" s="32">
        <f>集計表!AK95</f>
        <v>416</v>
      </c>
      <c r="AJ118" s="32">
        <f>集計表!AL95</f>
        <v>416</v>
      </c>
      <c r="AK118" s="32">
        <f>集計表!AM95</f>
        <v>417</v>
      </c>
      <c r="AL118" s="32">
        <f>集計表!AN95</f>
        <v>417</v>
      </c>
      <c r="AM118" s="32">
        <f>集計表!AO95</f>
        <v>417</v>
      </c>
      <c r="AN118" s="32">
        <f>集計表!AP95</f>
        <v>417</v>
      </c>
      <c r="AO118" s="32">
        <f>集計表!AQ95</f>
        <v>417</v>
      </c>
      <c r="AP118" s="32">
        <f>集計表!AR95</f>
        <v>417</v>
      </c>
      <c r="AQ118" s="32">
        <f>集計表!AS95</f>
        <v>417</v>
      </c>
      <c r="AR118" s="32">
        <f>集計表!AT95</f>
        <v>417</v>
      </c>
    </row>
    <row r="119" spans="1:44" s="42" customFormat="1" ht="13.5" customHeight="1" x14ac:dyDescent="0.2">
      <c r="A119" s="50" t="s">
        <v>23</v>
      </c>
      <c r="B119" s="51">
        <f>IFERROR(B117/B118, "")</f>
        <v>0.96825396825396826</v>
      </c>
      <c r="C119" s="51">
        <f t="shared" ref="C119:AM119" si="8">IFERROR(C117/C118, "")</f>
        <v>0.91269841269841268</v>
      </c>
      <c r="D119" s="51">
        <f t="shared" si="8"/>
        <v>1.0105820105820107</v>
      </c>
      <c r="E119" s="51">
        <f t="shared" si="8"/>
        <v>0.99470899470899465</v>
      </c>
      <c r="F119" s="51">
        <f t="shared" si="8"/>
        <v>0.97883597883597884</v>
      </c>
      <c r="G119" s="51">
        <f t="shared" si="8"/>
        <v>0.88624338624338628</v>
      </c>
      <c r="H119" s="51">
        <f t="shared" si="8"/>
        <v>0.97354497354497349</v>
      </c>
      <c r="I119" s="51">
        <f t="shared" si="8"/>
        <v>0.82352941176470584</v>
      </c>
      <c r="J119" s="51">
        <f t="shared" si="8"/>
        <v>0.75058823529411767</v>
      </c>
      <c r="K119" s="51">
        <f t="shared" si="8"/>
        <v>0.77176470588235291</v>
      </c>
      <c r="L119" s="51">
        <f t="shared" si="8"/>
        <v>0.81647058823529417</v>
      </c>
      <c r="M119" s="51">
        <f t="shared" si="8"/>
        <v>0.90823529411764703</v>
      </c>
      <c r="N119" s="51">
        <f t="shared" si="8"/>
        <v>0.97176470588235297</v>
      </c>
      <c r="O119" s="51">
        <f t="shared" si="8"/>
        <v>1.0211764705882354</v>
      </c>
      <c r="P119" s="51">
        <f t="shared" si="8"/>
        <v>0.98117647058823532</v>
      </c>
      <c r="Q119" s="51">
        <f t="shared" si="8"/>
        <v>1</v>
      </c>
      <c r="R119" s="51">
        <f t="shared" si="8"/>
        <v>1.1325301204819278</v>
      </c>
      <c r="S119" s="51">
        <f t="shared" si="8"/>
        <v>1.1855421686746987</v>
      </c>
      <c r="T119" s="51">
        <f t="shared" si="8"/>
        <v>1.1927710843373494</v>
      </c>
      <c r="U119" s="51">
        <f t="shared" si="8"/>
        <v>1.1421686746987951</v>
      </c>
      <c r="V119" s="51">
        <f t="shared" si="8"/>
        <v>1.2144578313253012</v>
      </c>
      <c r="W119" s="51">
        <f t="shared" si="8"/>
        <v>1.3301204819277108</v>
      </c>
      <c r="X119" s="51">
        <f t="shared" si="8"/>
        <v>1.312807881773399</v>
      </c>
      <c r="Y119" s="51">
        <f t="shared" si="8"/>
        <v>1.3497536945812807</v>
      </c>
      <c r="Z119" s="51">
        <f t="shared" si="8"/>
        <v>1.3596059113300492</v>
      </c>
      <c r="AA119" s="51">
        <f t="shared" si="8"/>
        <v>1.3349753694581281</v>
      </c>
      <c r="AB119" s="51">
        <f t="shared" si="8"/>
        <v>1.4187192118226601</v>
      </c>
      <c r="AC119" s="51" t="str">
        <f t="shared" si="8"/>
        <v/>
      </c>
      <c r="AD119" s="51" t="str">
        <f t="shared" si="8"/>
        <v/>
      </c>
      <c r="AE119" s="51" t="str">
        <f t="shared" si="8"/>
        <v/>
      </c>
      <c r="AF119" s="51" t="str">
        <f t="shared" si="8"/>
        <v/>
      </c>
      <c r="AG119" s="51" t="str">
        <f t="shared" si="8"/>
        <v/>
      </c>
      <c r="AH119" s="51" t="str">
        <f t="shared" si="8"/>
        <v/>
      </c>
      <c r="AI119" s="51" t="str">
        <f t="shared" si="8"/>
        <v/>
      </c>
      <c r="AJ119" s="51" t="str">
        <f t="shared" si="8"/>
        <v/>
      </c>
      <c r="AK119" s="51" t="str">
        <f t="shared" si="8"/>
        <v/>
      </c>
      <c r="AL119" s="51" t="str">
        <f t="shared" si="8"/>
        <v/>
      </c>
      <c r="AM119" s="51" t="str">
        <f t="shared" si="8"/>
        <v/>
      </c>
      <c r="AN119" s="51" t="str">
        <f t="shared" ref="AN119:AO119" si="9">IFERROR(AN117/AN118, "")</f>
        <v/>
      </c>
      <c r="AO119" s="51" t="str">
        <f t="shared" si="9"/>
        <v/>
      </c>
      <c r="AP119" s="51" t="str">
        <f t="shared" ref="AP119:AQ119" si="10">IFERROR(AP117/AP118, "")</f>
        <v/>
      </c>
      <c r="AQ119" s="51" t="str">
        <f t="shared" si="10"/>
        <v/>
      </c>
      <c r="AR119" s="51" t="str">
        <f t="shared" ref="AR119" si="11">IFERROR(AR117/AR118, "")</f>
        <v/>
      </c>
    </row>
    <row r="120" spans="1:44" s="33" customFormat="1" ht="30" customHeight="1" x14ac:dyDescent="0.2">
      <c r="A120" s="33" t="s">
        <v>24</v>
      </c>
      <c r="B120" s="34"/>
      <c r="C120" s="34"/>
      <c r="D120" s="35"/>
      <c r="E120" s="34"/>
      <c r="F120" s="36"/>
      <c r="G120" s="34"/>
      <c r="H120" s="34"/>
      <c r="I120" s="34"/>
      <c r="J120" s="34"/>
      <c r="K120" s="37"/>
      <c r="L120" s="34"/>
      <c r="M120" s="3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spans="1:44" ht="15.6" x14ac:dyDescent="0.2">
      <c r="A121" s="19" t="s">
        <v>15</v>
      </c>
      <c r="B121" s="10"/>
      <c r="C121" s="10"/>
      <c r="D121" s="10"/>
      <c r="E121" s="10"/>
      <c r="F121" s="10"/>
      <c r="G121" s="10"/>
      <c r="H121" s="10"/>
      <c r="I121" s="10"/>
      <c r="J121" s="10"/>
      <c r="L121" s="10" t="str">
        <f>TEXT(集計表!$C$1,"(e.m/d～)")</f>
        <v>(8.6/1～)</v>
      </c>
      <c r="M121" s="10"/>
      <c r="N121" s="10"/>
      <c r="O121" s="10"/>
    </row>
    <row r="122" spans="1:44" ht="15.6" x14ac:dyDescent="0.2">
      <c r="A122" s="19" t="s">
        <v>19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49" spans="1:45" ht="13.5" customHeight="1" x14ac:dyDescent="0.2"/>
    <row r="152" spans="1:45" ht="13.5" customHeight="1" x14ac:dyDescent="0.2"/>
    <row r="153" spans="1:45" ht="13.2" customHeight="1" x14ac:dyDescent="0.2"/>
    <row r="154" spans="1:45" s="39" customFormat="1" ht="15.9" customHeight="1" x14ac:dyDescent="0.2">
      <c r="B154" s="38"/>
      <c r="C154" s="38"/>
      <c r="E154" s="38"/>
      <c r="F154" s="40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X154" s="38"/>
      <c r="Y154" s="38"/>
      <c r="Z154" s="38"/>
      <c r="AA154" s="40"/>
      <c r="AC154" s="38"/>
      <c r="AD154" s="38"/>
      <c r="AE154" s="38"/>
      <c r="AF154" s="38"/>
      <c r="AG154" s="38"/>
      <c r="AH154" s="38"/>
      <c r="AI154" s="38"/>
      <c r="AJ154" s="44"/>
      <c r="AK154" s="38"/>
      <c r="AN154" s="44"/>
      <c r="AO154" s="38"/>
      <c r="AP154" s="38"/>
    </row>
    <row r="155" spans="1:45" ht="13.5" customHeight="1" x14ac:dyDescent="0.2">
      <c r="A155" s="45">
        <f>集計表!C97</f>
        <v>46174</v>
      </c>
      <c r="B155" s="58" t="str">
        <f>集計表!D97</f>
        <v>6/1</v>
      </c>
      <c r="C155" s="59" t="str">
        <f>集計表!E97</f>
        <v>2</v>
      </c>
      <c r="D155" s="60" t="str">
        <f>集計表!F97</f>
        <v>4</v>
      </c>
      <c r="E155" s="59" t="str">
        <f>集計表!G97</f>
        <v>5</v>
      </c>
      <c r="F155" s="59" t="str">
        <f>集計表!H97</f>
        <v>6</v>
      </c>
      <c r="G155" s="59" t="str">
        <f>集計表!I97</f>
        <v>8</v>
      </c>
      <c r="H155" s="59" t="str">
        <f>集計表!J97</f>
        <v>9</v>
      </c>
      <c r="I155" s="59" t="str">
        <f>集計表!K97</f>
        <v>11</v>
      </c>
      <c r="J155" s="59" t="str">
        <f>集計表!L97</f>
        <v>12</v>
      </c>
      <c r="K155" s="59" t="str">
        <f>集計表!M97</f>
        <v>13</v>
      </c>
      <c r="L155" s="59" t="str">
        <f>集計表!N97</f>
        <v>15</v>
      </c>
      <c r="M155" s="59" t="str">
        <f>集計表!O97</f>
        <v>16</v>
      </c>
      <c r="N155" s="59" t="str">
        <f>集計表!P97</f>
        <v>18</v>
      </c>
      <c r="O155" s="59" t="str">
        <f>集計表!Q97</f>
        <v>19</v>
      </c>
      <c r="P155" s="59" t="str">
        <f>集計表!R97</f>
        <v>20</v>
      </c>
      <c r="Q155" s="59" t="str">
        <f>集計表!S97</f>
        <v>22</v>
      </c>
      <c r="R155" s="59" t="str">
        <f>集計表!T97</f>
        <v>23</v>
      </c>
      <c r="S155" s="59" t="str">
        <f>集計表!U97</f>
        <v>25</v>
      </c>
      <c r="T155" s="59" t="str">
        <f>集計表!V97</f>
        <v>26</v>
      </c>
      <c r="U155" s="59" t="str">
        <f>集計表!W97</f>
        <v>27</v>
      </c>
      <c r="V155" s="59" t="str">
        <f>集計表!X97</f>
        <v>29</v>
      </c>
      <c r="W155" s="59" t="str">
        <f>集計表!Y97</f>
        <v>30</v>
      </c>
      <c r="X155" s="59" t="str">
        <f>集計表!Z97</f>
        <v>7/2</v>
      </c>
      <c r="Y155" s="59" t="str">
        <f>集計表!AA97</f>
        <v>3</v>
      </c>
      <c r="Z155" s="59" t="str">
        <f>集計表!AB97</f>
        <v>4</v>
      </c>
      <c r="AA155" s="59" t="str">
        <f>集計表!AC97</f>
        <v>6</v>
      </c>
      <c r="AB155" s="59" t="str">
        <f>集計表!AD97</f>
        <v>7</v>
      </c>
      <c r="AC155" s="59" t="str">
        <f>集計表!AE97</f>
        <v>9</v>
      </c>
      <c r="AD155" s="59" t="str">
        <f>集計表!AF97</f>
        <v>10</v>
      </c>
      <c r="AE155" s="59" t="str">
        <f>集計表!AG97</f>
        <v>11</v>
      </c>
      <c r="AF155" s="59" t="str">
        <f>集計表!AH97</f>
        <v>13</v>
      </c>
      <c r="AG155" s="59" t="str">
        <f>集計表!AI97</f>
        <v>14</v>
      </c>
      <c r="AH155" s="59" t="str">
        <f>集計表!AJ97</f>
        <v>16</v>
      </c>
      <c r="AI155" s="59" t="str">
        <f>集計表!AK97</f>
        <v>17</v>
      </c>
      <c r="AJ155" s="59" t="str">
        <f>集計表!AL97</f>
        <v>18</v>
      </c>
      <c r="AK155" s="59" t="str">
        <f>集計表!AM97</f>
        <v>21</v>
      </c>
      <c r="AL155" s="59" t="str">
        <f>集計表!AN97</f>
        <v>23</v>
      </c>
      <c r="AM155" s="59" t="str">
        <f>集計表!AO97</f>
        <v>24</v>
      </c>
      <c r="AN155" s="59" t="str">
        <f>集計表!AP97</f>
        <v>25</v>
      </c>
      <c r="AO155" s="59" t="str">
        <f>集計表!AQ97</f>
        <v>27</v>
      </c>
      <c r="AP155" s="59" t="str">
        <f>集計表!AR97</f>
        <v>28</v>
      </c>
      <c r="AQ155" s="59" t="str">
        <f>集計表!AS97</f>
        <v>30</v>
      </c>
      <c r="AR155" s="59" t="str">
        <f>集計表!AT97</f>
        <v>31</v>
      </c>
    </row>
    <row r="156" spans="1:45" s="42" customFormat="1" ht="13.5" customHeight="1" x14ac:dyDescent="0.2">
      <c r="A156" s="49" t="s">
        <v>0</v>
      </c>
      <c r="B156" s="32">
        <f>IF(集計表!D99="","",集計表!D99)</f>
        <v>18.631</v>
      </c>
      <c r="C156" s="32">
        <f>IF(集計表!E99="","",集計表!E99)</f>
        <v>14.167999999999999</v>
      </c>
      <c r="D156" s="32">
        <f>IF(集計表!F99="","",集計表!F99)</f>
        <v>26.321999999999999</v>
      </c>
      <c r="E156" s="32">
        <f>IF(集計表!G99="","",集計表!G99)</f>
        <v>21.062999999999999</v>
      </c>
      <c r="F156" s="32">
        <f>IF(集計表!H99="","",集計表!H99)</f>
        <v>25.588999999999999</v>
      </c>
      <c r="G156" s="32">
        <f>IF(集計表!I99="","",集計表!I99)</f>
        <v>28.771999999999998</v>
      </c>
      <c r="H156" s="32">
        <f>IF(集計表!J99="","",集計表!J99)</f>
        <v>34.015000000000001</v>
      </c>
      <c r="I156" s="32">
        <f>IF(集計表!K99="","",集計表!K99)</f>
        <v>28.132999999999999</v>
      </c>
      <c r="J156" s="32">
        <f>IF(集計表!L99="","",集計表!L99)</f>
        <v>21.852</v>
      </c>
      <c r="K156" s="32">
        <f>IF(集計表!M99="","",集計表!M99)</f>
        <v>24.372</v>
      </c>
      <c r="L156" s="32">
        <f>IF(集計表!N99="","",集計表!N99)</f>
        <v>13.718999999999999</v>
      </c>
      <c r="M156" s="32">
        <f>IF(集計表!O99="","",集計表!O99)</f>
        <v>16.564</v>
      </c>
      <c r="N156" s="32">
        <f>IF(集計表!P99="","",集計表!P99)</f>
        <v>20.052</v>
      </c>
      <c r="O156" s="32">
        <f>IF(集計表!Q99="","",集計表!Q99)</f>
        <v>14.144</v>
      </c>
      <c r="P156" s="32">
        <f>IF(集計表!R99="","",集計表!R99)</f>
        <v>19.68</v>
      </c>
      <c r="Q156" s="32">
        <f>IF(集計表!S99="","",集計表!S99)</f>
        <v>16.385999999999999</v>
      </c>
      <c r="R156" s="32">
        <f>IF(集計表!T99="","",集計表!T99)</f>
        <v>18.581</v>
      </c>
      <c r="S156" s="32">
        <f>IF(集計表!U99="","",集計表!U99)</f>
        <v>19.870999999999999</v>
      </c>
      <c r="T156" s="32">
        <f>IF(集計表!V99="","",集計表!V99)</f>
        <v>17.042999999999999</v>
      </c>
      <c r="U156" s="32">
        <f>IF(集計表!W99="","",集計表!W99)</f>
        <v>18.702000000000002</v>
      </c>
      <c r="V156" s="32">
        <f>IF(集計表!X99="","",集計表!X99)</f>
        <v>12.904</v>
      </c>
      <c r="W156" s="32">
        <f>IF(集計表!Y99="","",集計表!Y99)</f>
        <v>13.074999999999999</v>
      </c>
      <c r="X156" s="32">
        <f>IF(集計表!Z99="","",集計表!Z99)</f>
        <v>18.54</v>
      </c>
      <c r="Y156" s="32">
        <f>IF(集計表!AA99="","",集計表!AA99)</f>
        <v>12.836</v>
      </c>
      <c r="Z156" s="32">
        <f>IF(集計表!AB99="","",集計表!AB99)</f>
        <v>15.851000000000001</v>
      </c>
      <c r="AA156" s="32">
        <f>IF(集計表!AC99="","",集計表!AC99)</f>
        <v>14.294</v>
      </c>
      <c r="AB156" s="32">
        <f>IF(集計表!AD99="","",集計表!AD99)</f>
        <v>17.692</v>
      </c>
      <c r="AC156" s="32" t="str">
        <f>IF(集計表!AE99="","",集計表!AE99)</f>
        <v/>
      </c>
      <c r="AD156" s="32" t="str">
        <f>IF(集計表!AF99="","",集計表!AF99)</f>
        <v/>
      </c>
      <c r="AE156" s="32" t="str">
        <f>IF(集計表!AG99="","",集計表!AG99)</f>
        <v/>
      </c>
      <c r="AF156" s="32" t="str">
        <f>IF(集計表!AH99="","",集計表!AH99)</f>
        <v/>
      </c>
      <c r="AG156" s="32" t="str">
        <f>IF(集計表!AI99="","",集計表!AI99)</f>
        <v/>
      </c>
      <c r="AH156" s="32" t="str">
        <f>IF(集計表!AJ99="","",集計表!AJ99)</f>
        <v/>
      </c>
      <c r="AI156" s="32" t="str">
        <f>IF(集計表!AK99="","",集計表!AK99)</f>
        <v/>
      </c>
      <c r="AJ156" s="32" t="str">
        <f>IF(集計表!AL99="","",集計表!AL99)</f>
        <v/>
      </c>
      <c r="AK156" s="32" t="str">
        <f>IF(集計表!AM99="","",集計表!AM99)</f>
        <v/>
      </c>
      <c r="AL156" s="32" t="str">
        <f>IF(集計表!AN99="","",集計表!AN99)</f>
        <v/>
      </c>
      <c r="AM156" s="32" t="str">
        <f>IF(集計表!AO99="","",集計表!AO99)</f>
        <v/>
      </c>
      <c r="AN156" s="32" t="str">
        <f>IF(集計表!AP99="","",集計表!AP99)</f>
        <v/>
      </c>
      <c r="AO156" s="32" t="str">
        <f>IF(集計表!AQ99="","",集計表!AQ99)</f>
        <v/>
      </c>
      <c r="AP156" s="32" t="str">
        <f>IF(集計表!AR99="","",集計表!AR99)</f>
        <v/>
      </c>
      <c r="AQ156" s="32" t="str">
        <f>IF(集計表!AS99="","",集計表!AS99)</f>
        <v/>
      </c>
      <c r="AR156" s="32" t="str">
        <f>IF(集計表!AT99="","",集計表!AT99)</f>
        <v/>
      </c>
    </row>
    <row r="157" spans="1:45" s="42" customFormat="1" x14ac:dyDescent="0.2">
      <c r="A157" s="49" t="s">
        <v>1</v>
      </c>
      <c r="B157" s="32">
        <f>IF(集計表!D100=0,NA(),集計表!D100)</f>
        <v>359</v>
      </c>
      <c r="C157" s="32">
        <f>IF(集計表!E100=0,NA(),集計表!E100)</f>
        <v>425</v>
      </c>
      <c r="D157" s="32">
        <f>IF(集計表!F100=0,NA(),集計表!F100)</f>
        <v>434</v>
      </c>
      <c r="E157" s="32">
        <f>IF(集計表!G100=0,NA(),集計表!G100)</f>
        <v>422</v>
      </c>
      <c r="F157" s="32">
        <f>IF(集計表!H100=0,NA(),集計表!H100)</f>
        <v>331</v>
      </c>
      <c r="G157" s="32">
        <f>IF(集計表!I100=0,NA(),集計表!I100)</f>
        <v>306</v>
      </c>
      <c r="H157" s="32">
        <f>IF(集計表!J100=0,NA(),集計表!J100)</f>
        <v>301</v>
      </c>
      <c r="I157" s="32">
        <f>IF(集計表!K100=0,NA(),集計表!K100)</f>
        <v>339</v>
      </c>
      <c r="J157" s="32">
        <f>IF(集計表!L100=0,NA(),集計表!L100)</f>
        <v>359</v>
      </c>
      <c r="K157" s="32">
        <f>IF(集計表!M100=0,NA(),集計表!M100)</f>
        <v>348</v>
      </c>
      <c r="L157" s="32">
        <f>IF(集計表!N100=0,NA(),集計表!N100)</f>
        <v>432</v>
      </c>
      <c r="M157" s="32">
        <f>IF(集計表!O100=0,NA(),集計表!O100)</f>
        <v>405</v>
      </c>
      <c r="N157" s="32">
        <f>IF(集計表!P100=0,NA(),集計表!P100)</f>
        <v>437</v>
      </c>
      <c r="O157" s="32">
        <f>IF(集計表!Q100=0,NA(),集計表!Q100)</f>
        <v>423</v>
      </c>
      <c r="P157" s="32">
        <f>IF(集計表!R100=0,NA(),集計表!R100)</f>
        <v>461</v>
      </c>
      <c r="Q157" s="32">
        <f>IF(集計表!S100=0,NA(),集計表!S100)</f>
        <v>447</v>
      </c>
      <c r="R157" s="32">
        <f>IF(集計表!T100=0,NA(),集計表!T100)</f>
        <v>454</v>
      </c>
      <c r="S157" s="32">
        <f>IF(集計表!U100=0,NA(),集計表!U100)</f>
        <v>462</v>
      </c>
      <c r="T157" s="32">
        <f>IF(集計表!V100=0,NA(),集計表!V100)</f>
        <v>454</v>
      </c>
      <c r="U157" s="32">
        <f>IF(集計表!W100=0,NA(),集計表!W100)</f>
        <v>458</v>
      </c>
      <c r="V157" s="32">
        <f>IF(集計表!X100=0,NA(),集計表!X100)</f>
        <v>476</v>
      </c>
      <c r="W157" s="32">
        <f>IF(集計表!Y100=0,NA(),集計表!Y100)</f>
        <v>490</v>
      </c>
      <c r="X157" s="32">
        <f>IF(集計表!Z100=0,NA(),集計表!Z100)</f>
        <v>498</v>
      </c>
      <c r="Y157" s="32">
        <f>IF(集計表!AA100=0,NA(),集計表!AA100)</f>
        <v>499</v>
      </c>
      <c r="Z157" s="32">
        <f>IF(集計表!AB100=0,NA(),集計表!AB100)</f>
        <v>533</v>
      </c>
      <c r="AA157" s="32">
        <f>IF(集計表!AC100=0,NA(),集計表!AC100)</f>
        <v>526</v>
      </c>
      <c r="AB157" s="32">
        <f>IF(集計表!AD100=0,NA(),集計表!AD100)</f>
        <v>530</v>
      </c>
      <c r="AC157" s="32" t="e">
        <f>IF(集計表!AE100=0,NA(),集計表!AE100)</f>
        <v>#N/A</v>
      </c>
      <c r="AD157" s="32" t="e">
        <f>IF(集計表!AF100=0,NA(),集計表!AF100)</f>
        <v>#N/A</v>
      </c>
      <c r="AE157" s="32" t="e">
        <f>IF(集計表!AG100=0,NA(),集計表!AG100)</f>
        <v>#N/A</v>
      </c>
      <c r="AF157" s="32" t="e">
        <f>IF(集計表!AH100=0,NA(),集計表!AH100)</f>
        <v>#N/A</v>
      </c>
      <c r="AG157" s="32" t="e">
        <f>IF(集計表!AI100=0,NA(),集計表!AI100)</f>
        <v>#N/A</v>
      </c>
      <c r="AH157" s="32" t="e">
        <f>IF(集計表!AJ100=0,NA(),集計表!AJ100)</f>
        <v>#N/A</v>
      </c>
      <c r="AI157" s="32" t="e">
        <f>IF(集計表!AK100=0,NA(),集計表!AK100)</f>
        <v>#N/A</v>
      </c>
      <c r="AJ157" s="32" t="e">
        <f>IF(集計表!AL100=0,NA(),集計表!AL100)</f>
        <v>#N/A</v>
      </c>
      <c r="AK157" s="32" t="e">
        <f>IF(集計表!AM100=0,NA(),集計表!AM100)</f>
        <v>#N/A</v>
      </c>
      <c r="AL157" s="32" t="e">
        <f>IF(集計表!AN100=0,NA(),集計表!AN100)</f>
        <v>#N/A</v>
      </c>
      <c r="AM157" s="32" t="e">
        <f>IF(集計表!AO100=0,NA(),集計表!AO100)</f>
        <v>#N/A</v>
      </c>
      <c r="AN157" s="32" t="e">
        <f>IF(集計表!AP100=0,NA(),集計表!AP100)</f>
        <v>#N/A</v>
      </c>
      <c r="AO157" s="32" t="e">
        <f>IF(集計表!AQ100=0,NA(),集計表!AQ100)</f>
        <v>#N/A</v>
      </c>
      <c r="AP157" s="32" t="e">
        <f>IF(集計表!AR100=0,NA(),集計表!AR100)</f>
        <v>#N/A</v>
      </c>
      <c r="AQ157" s="32" t="e">
        <f>IF(集計表!AS100=0,NA(),集計表!AS100)</f>
        <v>#N/A</v>
      </c>
      <c r="AR157" s="32" t="e">
        <f>IF(集計表!AT100=0,NA(),集計表!AT100)</f>
        <v>#N/A</v>
      </c>
    </row>
    <row r="158" spans="1:45" s="42" customFormat="1" ht="13.5" customHeight="1" x14ac:dyDescent="0.2">
      <c r="A158" s="49" t="s">
        <v>2</v>
      </c>
      <c r="B158" s="32">
        <f>集計表!D101</f>
        <v>374</v>
      </c>
      <c r="C158" s="32">
        <f>集計表!E101</f>
        <v>374</v>
      </c>
      <c r="D158" s="32">
        <f>集計表!F101</f>
        <v>374</v>
      </c>
      <c r="E158" s="32">
        <f>集計表!G101</f>
        <v>374</v>
      </c>
      <c r="F158" s="32">
        <f>集計表!H101</f>
        <v>374</v>
      </c>
      <c r="G158" s="32">
        <f>集計表!I101</f>
        <v>374</v>
      </c>
      <c r="H158" s="32">
        <f>集計表!J101</f>
        <v>374</v>
      </c>
      <c r="I158" s="32">
        <f>集計表!K101</f>
        <v>384</v>
      </c>
      <c r="J158" s="32">
        <f>集計表!L101</f>
        <v>384</v>
      </c>
      <c r="K158" s="32">
        <f>集計表!M101</f>
        <v>384</v>
      </c>
      <c r="L158" s="32">
        <f>集計表!N101</f>
        <v>384</v>
      </c>
      <c r="M158" s="32">
        <f>集計表!O101</f>
        <v>384</v>
      </c>
      <c r="N158" s="32">
        <f>集計表!P101</f>
        <v>384</v>
      </c>
      <c r="O158" s="32">
        <f>集計表!Q101</f>
        <v>384</v>
      </c>
      <c r="P158" s="32">
        <f>集計表!R101</f>
        <v>384</v>
      </c>
      <c r="Q158" s="32">
        <f>集計表!S101</f>
        <v>393</v>
      </c>
      <c r="R158" s="32">
        <f>集計表!T101</f>
        <v>393</v>
      </c>
      <c r="S158" s="32">
        <f>集計表!U101</f>
        <v>393</v>
      </c>
      <c r="T158" s="32">
        <f>集計表!V101</f>
        <v>393</v>
      </c>
      <c r="U158" s="32">
        <f>集計表!W101</f>
        <v>393</v>
      </c>
      <c r="V158" s="32">
        <f>集計表!X101</f>
        <v>393</v>
      </c>
      <c r="W158" s="32">
        <f>集計表!Y101</f>
        <v>393</v>
      </c>
      <c r="X158" s="32">
        <f>集計表!Z101</f>
        <v>374</v>
      </c>
      <c r="Y158" s="32">
        <f>集計表!AA101</f>
        <v>374</v>
      </c>
      <c r="Z158" s="32">
        <f>集計表!AB101</f>
        <v>374</v>
      </c>
      <c r="AA158" s="32">
        <f>集計表!AC101</f>
        <v>374</v>
      </c>
      <c r="AB158" s="32">
        <f>集計表!AD101</f>
        <v>374</v>
      </c>
      <c r="AC158" s="32">
        <f>集計表!AE101</f>
        <v>374</v>
      </c>
      <c r="AD158" s="32">
        <f>集計表!AF101</f>
        <v>374</v>
      </c>
      <c r="AE158" s="32">
        <f>集計表!AG101</f>
        <v>388</v>
      </c>
      <c r="AF158" s="32">
        <f>集計表!AH101</f>
        <v>388</v>
      </c>
      <c r="AG158" s="32">
        <f>集計表!AI101</f>
        <v>388</v>
      </c>
      <c r="AH158" s="32">
        <f>集計表!AJ101</f>
        <v>388</v>
      </c>
      <c r="AI158" s="32">
        <f>集計表!AK101</f>
        <v>388</v>
      </c>
      <c r="AJ158" s="32">
        <f>集計表!AL101</f>
        <v>388</v>
      </c>
      <c r="AK158" s="32">
        <f>集計表!AM101</f>
        <v>369</v>
      </c>
      <c r="AL158" s="32">
        <f>集計表!AN101</f>
        <v>369</v>
      </c>
      <c r="AM158" s="32">
        <f>集計表!AO101</f>
        <v>369</v>
      </c>
      <c r="AN158" s="32">
        <f>集計表!AP101</f>
        <v>369</v>
      </c>
      <c r="AO158" s="32">
        <f>集計表!AQ101</f>
        <v>369</v>
      </c>
      <c r="AP158" s="32">
        <f>集計表!AR101</f>
        <v>369</v>
      </c>
      <c r="AQ158" s="32">
        <f>集計表!AS101</f>
        <v>369</v>
      </c>
      <c r="AR158" s="32">
        <f>集計表!AT101</f>
        <v>369</v>
      </c>
    </row>
    <row r="159" spans="1:45" s="42" customFormat="1" ht="13.5" customHeight="1" x14ac:dyDescent="0.2">
      <c r="A159" s="50" t="s">
        <v>23</v>
      </c>
      <c r="B159" s="51">
        <f>IFERROR(B157/B158, "")</f>
        <v>0.9598930481283422</v>
      </c>
      <c r="C159" s="51">
        <f t="shared" ref="C159:AM159" si="12">IFERROR(C157/C158, "")</f>
        <v>1.1363636363636365</v>
      </c>
      <c r="D159" s="51">
        <f t="shared" si="12"/>
        <v>1.160427807486631</v>
      </c>
      <c r="E159" s="51">
        <f t="shared" si="12"/>
        <v>1.1283422459893049</v>
      </c>
      <c r="F159" s="51">
        <f t="shared" si="12"/>
        <v>0.88502673796791442</v>
      </c>
      <c r="G159" s="51">
        <f t="shared" si="12"/>
        <v>0.81818181818181823</v>
      </c>
      <c r="H159" s="51">
        <f t="shared" si="12"/>
        <v>0.80481283422459893</v>
      </c>
      <c r="I159" s="51">
        <f t="shared" si="12"/>
        <v>0.8828125</v>
      </c>
      <c r="J159" s="51">
        <f t="shared" si="12"/>
        <v>0.93489583333333337</v>
      </c>
      <c r="K159" s="51">
        <f t="shared" si="12"/>
        <v>0.90625</v>
      </c>
      <c r="L159" s="51">
        <f t="shared" si="12"/>
        <v>1.125</v>
      </c>
      <c r="M159" s="51">
        <f t="shared" si="12"/>
        <v>1.0546875</v>
      </c>
      <c r="N159" s="51">
        <f t="shared" si="12"/>
        <v>1.1380208333333333</v>
      </c>
      <c r="O159" s="51">
        <f t="shared" si="12"/>
        <v>1.1015625</v>
      </c>
      <c r="P159" s="51">
        <f t="shared" si="12"/>
        <v>1.2005208333333333</v>
      </c>
      <c r="Q159" s="51">
        <f t="shared" si="12"/>
        <v>1.1374045801526718</v>
      </c>
      <c r="R159" s="51">
        <f t="shared" si="12"/>
        <v>1.1552162849872774</v>
      </c>
      <c r="S159" s="51">
        <f t="shared" si="12"/>
        <v>1.1755725190839694</v>
      </c>
      <c r="T159" s="51">
        <f t="shared" si="12"/>
        <v>1.1552162849872774</v>
      </c>
      <c r="U159" s="51">
        <f t="shared" si="12"/>
        <v>1.1653944020356235</v>
      </c>
      <c r="V159" s="51">
        <f t="shared" si="12"/>
        <v>1.2111959287531806</v>
      </c>
      <c r="W159" s="51">
        <f t="shared" si="12"/>
        <v>1.2468193384223918</v>
      </c>
      <c r="X159" s="51">
        <f t="shared" si="12"/>
        <v>1.3315508021390374</v>
      </c>
      <c r="Y159" s="51">
        <f t="shared" si="12"/>
        <v>1.3342245989304813</v>
      </c>
      <c r="Z159" s="51">
        <f t="shared" si="12"/>
        <v>1.4251336898395721</v>
      </c>
      <c r="AA159" s="51">
        <f t="shared" si="12"/>
        <v>1.4064171122994653</v>
      </c>
      <c r="AB159" s="51">
        <f t="shared" si="12"/>
        <v>1.4171122994652405</v>
      </c>
      <c r="AC159" s="51" t="str">
        <f t="shared" si="12"/>
        <v/>
      </c>
      <c r="AD159" s="51" t="str">
        <f t="shared" si="12"/>
        <v/>
      </c>
      <c r="AE159" s="51" t="str">
        <f t="shared" si="12"/>
        <v/>
      </c>
      <c r="AF159" s="51" t="str">
        <f t="shared" si="12"/>
        <v/>
      </c>
      <c r="AG159" s="51" t="str">
        <f t="shared" si="12"/>
        <v/>
      </c>
      <c r="AH159" s="51" t="str">
        <f t="shared" si="12"/>
        <v/>
      </c>
      <c r="AI159" s="51" t="str">
        <f t="shared" si="12"/>
        <v/>
      </c>
      <c r="AJ159" s="51" t="str">
        <f t="shared" si="12"/>
        <v/>
      </c>
      <c r="AK159" s="51" t="str">
        <f t="shared" si="12"/>
        <v/>
      </c>
      <c r="AL159" s="51" t="str">
        <f t="shared" si="12"/>
        <v/>
      </c>
      <c r="AM159" s="51" t="str">
        <f t="shared" si="12"/>
        <v/>
      </c>
      <c r="AN159" s="51" t="str">
        <f t="shared" ref="AN159:AO159" si="13">IFERROR(AN157/AN158, "")</f>
        <v/>
      </c>
      <c r="AO159" s="51" t="str">
        <f t="shared" si="13"/>
        <v/>
      </c>
      <c r="AP159" s="51" t="str">
        <f t="shared" ref="AP159:AQ159" si="14">IFERROR(AP157/AP158, "")</f>
        <v/>
      </c>
      <c r="AQ159" s="51" t="str">
        <f t="shared" si="14"/>
        <v/>
      </c>
      <c r="AR159" s="51" t="str">
        <f t="shared" ref="AR159" si="15">IFERROR(AR157/AR158, "")</f>
        <v/>
      </c>
    </row>
    <row r="160" spans="1:45" s="33" customFormat="1" ht="22.5" customHeight="1" x14ac:dyDescent="0.2">
      <c r="A160" s="33" t="s">
        <v>24</v>
      </c>
      <c r="B160" s="34"/>
      <c r="C160" s="34"/>
      <c r="D160" s="35"/>
      <c r="E160" s="34"/>
      <c r="F160" s="36"/>
      <c r="G160" s="34"/>
      <c r="H160" s="34"/>
      <c r="I160" s="34"/>
      <c r="J160" s="34"/>
      <c r="K160" s="37"/>
      <c r="L160" s="34"/>
      <c r="M160" s="37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Q160"/>
      <c r="AR160"/>
      <c r="AS160"/>
    </row>
  </sheetData>
  <phoneticPr fontId="4"/>
  <conditionalFormatting sqref="B36">
    <cfRule type="expression" dxfId="4" priority="73" stopIfTrue="1">
      <formula>ISERROR(B36)</formula>
    </cfRule>
  </conditionalFormatting>
  <conditionalFormatting sqref="B76">
    <cfRule type="expression" dxfId="3" priority="72" stopIfTrue="1">
      <formula>ISERROR(B76)</formula>
    </cfRule>
  </conditionalFormatting>
  <conditionalFormatting sqref="B116">
    <cfRule type="expression" dxfId="2" priority="71" stopIfTrue="1">
      <formula>ISERROR(B116)</formula>
    </cfRule>
  </conditionalFormatting>
  <conditionalFormatting sqref="B156">
    <cfRule type="expression" dxfId="1" priority="70" stopIfTrue="1">
      <formula>ISERROR(B156)</formula>
    </cfRule>
  </conditionalFormatting>
  <conditionalFormatting sqref="B37:AR37 B77:AR77 B117:AR117 B157:AR157">
    <cfRule type="expression" dxfId="0" priority="77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AX103"/>
  <sheetViews>
    <sheetView showGridLines="0" zoomScaleNormal="100" workbookViewId="0">
      <pane xSplit="3" topLeftCell="AB1" activePane="topRight" state="frozen"/>
      <selection pane="topRight"/>
    </sheetView>
  </sheetViews>
  <sheetFormatPr defaultRowHeight="13.2" x14ac:dyDescent="0.2"/>
  <cols>
    <col min="3" max="3" width="14.21875" bestFit="1" customWidth="1"/>
  </cols>
  <sheetData>
    <row r="1" spans="1:49" x14ac:dyDescent="0.2">
      <c r="A1" s="5" t="s">
        <v>8</v>
      </c>
      <c r="B1" t="s">
        <v>7</v>
      </c>
      <c r="C1" s="15">
        <v>46174</v>
      </c>
      <c r="D1" s="73" t="s">
        <v>50</v>
      </c>
      <c r="E1" s="64" t="s">
        <v>45</v>
      </c>
      <c r="F1" s="64" t="s">
        <v>41</v>
      </c>
      <c r="G1" s="64" t="s">
        <v>51</v>
      </c>
      <c r="H1" s="65" t="s">
        <v>31</v>
      </c>
      <c r="I1" s="64" t="s">
        <v>46</v>
      </c>
      <c r="J1" s="64" t="s">
        <v>28</v>
      </c>
      <c r="K1" s="64" t="s">
        <v>42</v>
      </c>
      <c r="L1" s="64" t="s">
        <v>35</v>
      </c>
      <c r="M1" s="64" t="s">
        <v>32</v>
      </c>
      <c r="N1" s="64" t="s">
        <v>47</v>
      </c>
      <c r="O1" s="64" t="s">
        <v>29</v>
      </c>
      <c r="P1" s="64" t="s">
        <v>43</v>
      </c>
      <c r="Q1" s="64" t="s">
        <v>36</v>
      </c>
      <c r="R1" s="64" t="s">
        <v>33</v>
      </c>
      <c r="S1" s="64" t="s">
        <v>48</v>
      </c>
      <c r="T1" s="64" t="s">
        <v>30</v>
      </c>
      <c r="U1" s="64" t="s">
        <v>44</v>
      </c>
      <c r="V1" s="64" t="s">
        <v>27</v>
      </c>
      <c r="W1" s="64" t="s">
        <v>34</v>
      </c>
      <c r="X1" s="64" t="s">
        <v>49</v>
      </c>
      <c r="Y1" s="64" t="s">
        <v>37</v>
      </c>
      <c r="Z1" s="64" t="s">
        <v>52</v>
      </c>
      <c r="AA1" s="66" t="s">
        <v>53</v>
      </c>
      <c r="AB1" s="66" t="s">
        <v>41</v>
      </c>
      <c r="AC1" s="66" t="s">
        <v>31</v>
      </c>
      <c r="AD1" s="67" t="s">
        <v>38</v>
      </c>
      <c r="AE1" s="67" t="s">
        <v>28</v>
      </c>
      <c r="AF1" s="67" t="s">
        <v>54</v>
      </c>
      <c r="AG1" s="67" t="s">
        <v>42</v>
      </c>
      <c r="AH1" s="67" t="s">
        <v>32</v>
      </c>
      <c r="AI1" s="67" t="s">
        <v>39</v>
      </c>
      <c r="AJ1" s="67" t="s">
        <v>29</v>
      </c>
      <c r="AK1" s="67" t="s">
        <v>55</v>
      </c>
      <c r="AL1" s="67" t="s">
        <v>43</v>
      </c>
      <c r="AM1" s="67" t="s">
        <v>40</v>
      </c>
      <c r="AN1" s="68" t="s">
        <v>30</v>
      </c>
      <c r="AO1" s="64" t="s">
        <v>56</v>
      </c>
      <c r="AP1" s="64" t="s">
        <v>44</v>
      </c>
      <c r="AQ1" s="64" t="s">
        <v>34</v>
      </c>
      <c r="AR1" s="64" t="s">
        <v>26</v>
      </c>
      <c r="AS1" s="64" t="s">
        <v>37</v>
      </c>
      <c r="AT1" s="64" t="s">
        <v>57</v>
      </c>
      <c r="AU1" s="25"/>
      <c r="AV1" s="20"/>
      <c r="AW1" s="23"/>
    </row>
    <row r="2" spans="1:49" x14ac:dyDescent="0.2">
      <c r="C2" s="12" t="s">
        <v>21</v>
      </c>
      <c r="D2" s="74">
        <v>364892</v>
      </c>
      <c r="E2" s="69">
        <v>215789</v>
      </c>
      <c r="F2" s="69">
        <v>331685</v>
      </c>
      <c r="G2" s="69">
        <v>178300</v>
      </c>
      <c r="H2" s="69">
        <v>158549</v>
      </c>
      <c r="I2" s="69">
        <v>269682</v>
      </c>
      <c r="J2" s="69">
        <v>185025</v>
      </c>
      <c r="K2" s="69">
        <v>300016</v>
      </c>
      <c r="L2" s="69">
        <v>151180</v>
      </c>
      <c r="M2" s="69">
        <v>173564</v>
      </c>
      <c r="N2" s="69">
        <v>311334</v>
      </c>
      <c r="O2" s="69">
        <v>188864</v>
      </c>
      <c r="P2" s="69">
        <v>326045</v>
      </c>
      <c r="Q2" s="69">
        <v>197383</v>
      </c>
      <c r="R2" s="69">
        <v>219442</v>
      </c>
      <c r="S2" s="69">
        <v>344893</v>
      </c>
      <c r="T2" s="69">
        <v>162637</v>
      </c>
      <c r="U2" s="69">
        <v>256746</v>
      </c>
      <c r="V2" s="69">
        <v>138205</v>
      </c>
      <c r="W2" s="69">
        <v>149230</v>
      </c>
      <c r="X2" s="69">
        <v>240300</v>
      </c>
      <c r="Y2" s="69">
        <v>141001</v>
      </c>
      <c r="Z2" s="69">
        <v>280601</v>
      </c>
      <c r="AA2" s="69">
        <v>141127</v>
      </c>
      <c r="AB2" s="69">
        <v>137452</v>
      </c>
      <c r="AC2" s="69">
        <v>214453</v>
      </c>
      <c r="AD2" s="69">
        <v>164296</v>
      </c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11"/>
      <c r="AV2" s="21"/>
      <c r="AW2" s="9"/>
    </row>
    <row r="3" spans="1:49" x14ac:dyDescent="0.2">
      <c r="C3" s="12" t="s">
        <v>3</v>
      </c>
      <c r="D3" s="75">
        <v>364.892</v>
      </c>
      <c r="E3" s="70">
        <v>215.78899999999999</v>
      </c>
      <c r="F3" s="70">
        <v>331.685</v>
      </c>
      <c r="G3" s="70">
        <v>178.3</v>
      </c>
      <c r="H3" s="70">
        <v>158.54900000000001</v>
      </c>
      <c r="I3" s="70">
        <v>269.68200000000002</v>
      </c>
      <c r="J3" s="70">
        <v>185.02500000000001</v>
      </c>
      <c r="K3" s="70">
        <v>300.01600000000002</v>
      </c>
      <c r="L3" s="70">
        <v>151.18</v>
      </c>
      <c r="M3" s="70">
        <v>173.56399999999999</v>
      </c>
      <c r="N3" s="70">
        <v>311.334</v>
      </c>
      <c r="O3" s="70">
        <v>188.864</v>
      </c>
      <c r="P3" s="70">
        <v>326.04500000000002</v>
      </c>
      <c r="Q3" s="70">
        <v>197.38300000000001</v>
      </c>
      <c r="R3" s="70">
        <v>219.44200000000001</v>
      </c>
      <c r="S3" s="70">
        <v>344.89299999999997</v>
      </c>
      <c r="T3" s="70">
        <v>162.637</v>
      </c>
      <c r="U3" s="70">
        <v>256.74599999999998</v>
      </c>
      <c r="V3" s="70">
        <v>138.20500000000001</v>
      </c>
      <c r="W3" s="70">
        <v>149.22999999999999</v>
      </c>
      <c r="X3" s="70">
        <v>240.3</v>
      </c>
      <c r="Y3" s="70">
        <v>141.001</v>
      </c>
      <c r="Z3" s="70">
        <v>280.601</v>
      </c>
      <c r="AA3" s="70">
        <v>141.12700000000001</v>
      </c>
      <c r="AB3" s="70">
        <v>137.452</v>
      </c>
      <c r="AC3" s="70">
        <v>214.453</v>
      </c>
      <c r="AD3" s="70">
        <v>164.29599999999999</v>
      </c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11"/>
      <c r="AV3" s="21"/>
      <c r="AW3" s="9"/>
    </row>
    <row r="4" spans="1:49" x14ac:dyDescent="0.2">
      <c r="C4" s="13" t="s">
        <v>22</v>
      </c>
      <c r="D4" s="76">
        <v>255</v>
      </c>
      <c r="E4" s="72">
        <v>256</v>
      </c>
      <c r="F4" s="72">
        <v>254</v>
      </c>
      <c r="G4" s="72">
        <v>266</v>
      </c>
      <c r="H4" s="72">
        <v>295</v>
      </c>
      <c r="I4" s="72">
        <v>332</v>
      </c>
      <c r="J4" s="72">
        <v>347</v>
      </c>
      <c r="K4" s="72">
        <v>349</v>
      </c>
      <c r="L4" s="72">
        <v>353</v>
      </c>
      <c r="M4" s="72">
        <v>355</v>
      </c>
      <c r="N4" s="72">
        <v>362</v>
      </c>
      <c r="O4" s="72">
        <v>367</v>
      </c>
      <c r="P4" s="72">
        <v>372</v>
      </c>
      <c r="Q4" s="72">
        <v>375</v>
      </c>
      <c r="R4" s="72">
        <v>370</v>
      </c>
      <c r="S4" s="72">
        <v>367</v>
      </c>
      <c r="T4" s="72">
        <v>370</v>
      </c>
      <c r="U4" s="72">
        <v>366</v>
      </c>
      <c r="V4" s="72">
        <v>374</v>
      </c>
      <c r="W4" s="72">
        <v>376</v>
      </c>
      <c r="X4" s="72">
        <v>389</v>
      </c>
      <c r="Y4" s="72">
        <v>399</v>
      </c>
      <c r="Z4" s="72">
        <v>400</v>
      </c>
      <c r="AA4" s="72">
        <v>413</v>
      </c>
      <c r="AB4" s="72">
        <v>438</v>
      </c>
      <c r="AC4" s="72">
        <v>478</v>
      </c>
      <c r="AD4" s="72">
        <v>494</v>
      </c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16"/>
      <c r="AV4" s="21"/>
      <c r="AW4" s="9"/>
    </row>
    <row r="5" spans="1:49" ht="13.8" thickBot="1" x14ac:dyDescent="0.25">
      <c r="C5" s="14" t="s">
        <v>20</v>
      </c>
      <c r="D5" s="77">
        <v>268</v>
      </c>
      <c r="E5" s="77">
        <v>268</v>
      </c>
      <c r="F5" s="77">
        <v>268</v>
      </c>
      <c r="G5" s="77">
        <v>268</v>
      </c>
      <c r="H5" s="77">
        <v>268</v>
      </c>
      <c r="I5" s="77">
        <v>268</v>
      </c>
      <c r="J5" s="77">
        <v>268</v>
      </c>
      <c r="K5" s="77">
        <v>261</v>
      </c>
      <c r="L5" s="77">
        <v>261</v>
      </c>
      <c r="M5" s="77">
        <v>261</v>
      </c>
      <c r="N5" s="77">
        <v>261</v>
      </c>
      <c r="O5" s="77">
        <v>261</v>
      </c>
      <c r="P5" s="77">
        <v>261</v>
      </c>
      <c r="Q5" s="77">
        <v>261</v>
      </c>
      <c r="R5" s="77">
        <v>261</v>
      </c>
      <c r="S5" s="77">
        <v>261</v>
      </c>
      <c r="T5" s="77">
        <v>261</v>
      </c>
      <c r="U5" s="77">
        <v>261</v>
      </c>
      <c r="V5" s="77">
        <v>261</v>
      </c>
      <c r="W5" s="77">
        <v>261</v>
      </c>
      <c r="X5" s="77">
        <v>261</v>
      </c>
      <c r="Y5" s="77">
        <v>261</v>
      </c>
      <c r="Z5" s="77">
        <v>287</v>
      </c>
      <c r="AA5" s="77">
        <v>287</v>
      </c>
      <c r="AB5" s="77">
        <v>287</v>
      </c>
      <c r="AC5" s="77">
        <v>287</v>
      </c>
      <c r="AD5" s="77">
        <v>287</v>
      </c>
      <c r="AE5" s="77">
        <v>287</v>
      </c>
      <c r="AF5" s="77">
        <v>287</v>
      </c>
      <c r="AG5" s="77">
        <v>314</v>
      </c>
      <c r="AH5" s="77">
        <v>314</v>
      </c>
      <c r="AI5" s="77">
        <v>314</v>
      </c>
      <c r="AJ5" s="77">
        <v>314</v>
      </c>
      <c r="AK5" s="77">
        <v>314</v>
      </c>
      <c r="AL5" s="77">
        <v>314</v>
      </c>
      <c r="AM5" s="77">
        <v>291</v>
      </c>
      <c r="AN5" s="77">
        <v>291</v>
      </c>
      <c r="AO5" s="77">
        <v>291</v>
      </c>
      <c r="AP5" s="77">
        <v>291</v>
      </c>
      <c r="AQ5" s="77">
        <v>291</v>
      </c>
      <c r="AR5" s="77">
        <v>291</v>
      </c>
      <c r="AS5" s="77">
        <v>291</v>
      </c>
      <c r="AT5" s="77">
        <v>291</v>
      </c>
      <c r="AU5" s="22"/>
      <c r="AV5" s="22"/>
      <c r="AW5" s="18"/>
    </row>
    <row r="6" spans="1:49" ht="13.8" thickBot="1" x14ac:dyDescent="0.25"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</row>
    <row r="7" spans="1:49" x14ac:dyDescent="0.2">
      <c r="A7" t="s">
        <v>8</v>
      </c>
      <c r="B7" t="s">
        <v>6</v>
      </c>
      <c r="C7" s="29">
        <f>$C$1</f>
        <v>46174</v>
      </c>
      <c r="D7" s="73" t="s">
        <v>50</v>
      </c>
      <c r="E7" s="64" t="s">
        <v>45</v>
      </c>
      <c r="F7" s="64" t="s">
        <v>41</v>
      </c>
      <c r="G7" s="64" t="s">
        <v>51</v>
      </c>
      <c r="H7" s="65" t="s">
        <v>31</v>
      </c>
      <c r="I7" s="64" t="s">
        <v>46</v>
      </c>
      <c r="J7" s="64" t="s">
        <v>28</v>
      </c>
      <c r="K7" s="64" t="s">
        <v>42</v>
      </c>
      <c r="L7" s="64" t="s">
        <v>35</v>
      </c>
      <c r="M7" s="64" t="s">
        <v>32</v>
      </c>
      <c r="N7" s="64" t="s">
        <v>47</v>
      </c>
      <c r="O7" s="64" t="s">
        <v>29</v>
      </c>
      <c r="P7" s="64" t="s">
        <v>43</v>
      </c>
      <c r="Q7" s="64" t="s">
        <v>36</v>
      </c>
      <c r="R7" s="64" t="s">
        <v>33</v>
      </c>
      <c r="S7" s="64" t="s">
        <v>48</v>
      </c>
      <c r="T7" s="64" t="s">
        <v>30</v>
      </c>
      <c r="U7" s="64" t="s">
        <v>44</v>
      </c>
      <c r="V7" s="64" t="s">
        <v>27</v>
      </c>
      <c r="W7" s="64" t="s">
        <v>34</v>
      </c>
      <c r="X7" s="64" t="s">
        <v>49</v>
      </c>
      <c r="Y7" s="64" t="s">
        <v>37</v>
      </c>
      <c r="Z7" s="64" t="s">
        <v>52</v>
      </c>
      <c r="AA7" s="66" t="s">
        <v>53</v>
      </c>
      <c r="AB7" s="66" t="s">
        <v>41</v>
      </c>
      <c r="AC7" s="66" t="s">
        <v>31</v>
      </c>
      <c r="AD7" s="67" t="s">
        <v>38</v>
      </c>
      <c r="AE7" s="67" t="s">
        <v>28</v>
      </c>
      <c r="AF7" s="67" t="s">
        <v>54</v>
      </c>
      <c r="AG7" s="67" t="s">
        <v>42</v>
      </c>
      <c r="AH7" s="67" t="s">
        <v>32</v>
      </c>
      <c r="AI7" s="67" t="s">
        <v>39</v>
      </c>
      <c r="AJ7" s="67" t="s">
        <v>29</v>
      </c>
      <c r="AK7" s="67" t="s">
        <v>55</v>
      </c>
      <c r="AL7" s="67" t="s">
        <v>43</v>
      </c>
      <c r="AM7" s="67" t="s">
        <v>40</v>
      </c>
      <c r="AN7" s="68" t="s">
        <v>30</v>
      </c>
      <c r="AO7" s="64" t="s">
        <v>56</v>
      </c>
      <c r="AP7" s="64" t="s">
        <v>44</v>
      </c>
      <c r="AQ7" s="64" t="s">
        <v>34</v>
      </c>
      <c r="AR7" s="64" t="s">
        <v>26</v>
      </c>
      <c r="AS7" s="64" t="s">
        <v>37</v>
      </c>
      <c r="AT7" s="64" t="s">
        <v>57</v>
      </c>
      <c r="AU7" s="25"/>
      <c r="AV7" s="20"/>
      <c r="AW7" s="23"/>
    </row>
    <row r="8" spans="1:49" x14ac:dyDescent="0.2">
      <c r="C8" s="12" t="s">
        <v>21</v>
      </c>
      <c r="D8" s="74">
        <v>84773</v>
      </c>
      <c r="E8" s="69">
        <v>72381</v>
      </c>
      <c r="F8" s="69">
        <v>79922</v>
      </c>
      <c r="G8" s="69">
        <v>50750</v>
      </c>
      <c r="H8" s="69">
        <v>57715</v>
      </c>
      <c r="I8" s="69">
        <v>66613</v>
      </c>
      <c r="J8" s="69">
        <v>60658</v>
      </c>
      <c r="K8" s="69">
        <v>64840</v>
      </c>
      <c r="L8" s="69">
        <v>41430</v>
      </c>
      <c r="M8" s="69">
        <v>57105</v>
      </c>
      <c r="N8" s="69">
        <v>56422</v>
      </c>
      <c r="O8" s="69">
        <v>49656</v>
      </c>
      <c r="P8" s="69">
        <v>83948</v>
      </c>
      <c r="Q8" s="69">
        <v>51598</v>
      </c>
      <c r="R8" s="69">
        <v>49203</v>
      </c>
      <c r="S8" s="69">
        <v>89397</v>
      </c>
      <c r="T8" s="69">
        <v>49215</v>
      </c>
      <c r="U8" s="69">
        <v>75861</v>
      </c>
      <c r="V8" s="69">
        <v>40590</v>
      </c>
      <c r="W8" s="69">
        <v>47906</v>
      </c>
      <c r="X8" s="69">
        <v>53818</v>
      </c>
      <c r="Y8" s="69">
        <v>34881</v>
      </c>
      <c r="Z8" s="69">
        <v>63262</v>
      </c>
      <c r="AA8" s="69">
        <v>39116</v>
      </c>
      <c r="AB8" s="69">
        <v>36332</v>
      </c>
      <c r="AC8" s="69">
        <v>51672</v>
      </c>
      <c r="AD8" s="69">
        <v>36748</v>
      </c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11"/>
      <c r="AV8" s="21"/>
      <c r="AW8" s="9"/>
    </row>
    <row r="9" spans="1:49" x14ac:dyDescent="0.2">
      <c r="C9" s="12" t="s">
        <v>3</v>
      </c>
      <c r="D9" s="75">
        <v>84.772999999999996</v>
      </c>
      <c r="E9" s="70">
        <v>72.381</v>
      </c>
      <c r="F9" s="70">
        <v>79.921999999999997</v>
      </c>
      <c r="G9" s="70">
        <v>50.75</v>
      </c>
      <c r="H9" s="70">
        <v>57.715000000000003</v>
      </c>
      <c r="I9" s="70">
        <v>66.613</v>
      </c>
      <c r="J9" s="70">
        <v>60.658000000000001</v>
      </c>
      <c r="K9" s="70">
        <v>64.84</v>
      </c>
      <c r="L9" s="70">
        <v>41.43</v>
      </c>
      <c r="M9" s="70">
        <v>57.104999999999997</v>
      </c>
      <c r="N9" s="70">
        <v>56.421999999999997</v>
      </c>
      <c r="O9" s="70">
        <v>49.655999999999999</v>
      </c>
      <c r="P9" s="70">
        <v>83.947999999999993</v>
      </c>
      <c r="Q9" s="70">
        <v>51.597999999999999</v>
      </c>
      <c r="R9" s="70">
        <v>49.203000000000003</v>
      </c>
      <c r="S9" s="70">
        <v>89.397000000000006</v>
      </c>
      <c r="T9" s="70">
        <v>49.215000000000003</v>
      </c>
      <c r="U9" s="70">
        <v>75.861000000000004</v>
      </c>
      <c r="V9" s="70">
        <v>40.590000000000003</v>
      </c>
      <c r="W9" s="70">
        <v>47.905999999999999</v>
      </c>
      <c r="X9" s="70">
        <v>53.817999999999998</v>
      </c>
      <c r="Y9" s="70">
        <v>34.881</v>
      </c>
      <c r="Z9" s="70">
        <v>63.262</v>
      </c>
      <c r="AA9" s="70">
        <v>39.116</v>
      </c>
      <c r="AB9" s="70">
        <v>36.332000000000001</v>
      </c>
      <c r="AC9" s="70">
        <v>51.671999999999997</v>
      </c>
      <c r="AD9" s="70">
        <v>36.747999999999998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11"/>
      <c r="AV9" s="21"/>
      <c r="AW9" s="9"/>
    </row>
    <row r="10" spans="1:49" x14ac:dyDescent="0.2">
      <c r="C10" s="13" t="s">
        <v>22</v>
      </c>
      <c r="D10" s="76">
        <v>292</v>
      </c>
      <c r="E10" s="72">
        <v>278</v>
      </c>
      <c r="F10" s="72">
        <v>275</v>
      </c>
      <c r="G10" s="72">
        <v>289</v>
      </c>
      <c r="H10" s="72">
        <v>307</v>
      </c>
      <c r="I10" s="72">
        <v>310</v>
      </c>
      <c r="J10" s="72">
        <v>332</v>
      </c>
      <c r="K10" s="72">
        <v>312</v>
      </c>
      <c r="L10" s="72">
        <v>325</v>
      </c>
      <c r="M10" s="72">
        <v>310</v>
      </c>
      <c r="N10" s="72">
        <v>336</v>
      </c>
      <c r="O10" s="72">
        <v>353</v>
      </c>
      <c r="P10" s="72">
        <v>348</v>
      </c>
      <c r="Q10" s="72">
        <v>338</v>
      </c>
      <c r="R10" s="72">
        <v>360</v>
      </c>
      <c r="S10" s="72">
        <v>353</v>
      </c>
      <c r="T10" s="72">
        <v>334</v>
      </c>
      <c r="U10" s="72">
        <v>368</v>
      </c>
      <c r="V10" s="72">
        <v>358</v>
      </c>
      <c r="W10" s="72">
        <v>386</v>
      </c>
      <c r="X10" s="72">
        <v>394</v>
      </c>
      <c r="Y10" s="72">
        <v>426</v>
      </c>
      <c r="Z10" s="72">
        <v>404</v>
      </c>
      <c r="AA10" s="72">
        <v>412</v>
      </c>
      <c r="AB10" s="72">
        <v>421</v>
      </c>
      <c r="AC10" s="72">
        <v>438</v>
      </c>
      <c r="AD10" s="72">
        <v>449</v>
      </c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16"/>
      <c r="AV10" s="21"/>
      <c r="AW10" s="9"/>
    </row>
    <row r="11" spans="1:49" ht="13.8" thickBot="1" x14ac:dyDescent="0.25">
      <c r="C11" s="14" t="s">
        <v>20</v>
      </c>
      <c r="D11" s="77">
        <v>269</v>
      </c>
      <c r="E11" s="77">
        <v>269</v>
      </c>
      <c r="F11" s="77">
        <v>269</v>
      </c>
      <c r="G11" s="77">
        <v>269</v>
      </c>
      <c r="H11" s="77">
        <v>269</v>
      </c>
      <c r="I11" s="77">
        <v>269</v>
      </c>
      <c r="J11" s="77">
        <v>269</v>
      </c>
      <c r="K11" s="77">
        <v>271</v>
      </c>
      <c r="L11" s="77">
        <v>271</v>
      </c>
      <c r="M11" s="77">
        <v>271</v>
      </c>
      <c r="N11" s="77">
        <v>271</v>
      </c>
      <c r="O11" s="77">
        <v>271</v>
      </c>
      <c r="P11" s="77">
        <v>271</v>
      </c>
      <c r="Q11" s="77">
        <v>271</v>
      </c>
      <c r="R11" s="77">
        <v>271</v>
      </c>
      <c r="S11" s="77">
        <v>275</v>
      </c>
      <c r="T11" s="77">
        <v>275</v>
      </c>
      <c r="U11" s="77">
        <v>275</v>
      </c>
      <c r="V11" s="77">
        <v>275</v>
      </c>
      <c r="W11" s="77">
        <v>275</v>
      </c>
      <c r="X11" s="77">
        <v>275</v>
      </c>
      <c r="Y11" s="77">
        <v>275</v>
      </c>
      <c r="Z11" s="77">
        <v>285</v>
      </c>
      <c r="AA11" s="77">
        <v>285</v>
      </c>
      <c r="AB11" s="77">
        <v>285</v>
      </c>
      <c r="AC11" s="77">
        <v>285</v>
      </c>
      <c r="AD11" s="77">
        <v>285</v>
      </c>
      <c r="AE11" s="77">
        <v>285</v>
      </c>
      <c r="AF11" s="77">
        <v>285</v>
      </c>
      <c r="AG11" s="77">
        <v>322</v>
      </c>
      <c r="AH11" s="77">
        <v>322</v>
      </c>
      <c r="AI11" s="77">
        <v>322</v>
      </c>
      <c r="AJ11" s="77">
        <v>322</v>
      </c>
      <c r="AK11" s="77">
        <v>322</v>
      </c>
      <c r="AL11" s="77">
        <v>322</v>
      </c>
      <c r="AM11" s="77">
        <v>308</v>
      </c>
      <c r="AN11" s="77">
        <v>308</v>
      </c>
      <c r="AO11" s="77">
        <v>308</v>
      </c>
      <c r="AP11" s="77">
        <v>308</v>
      </c>
      <c r="AQ11" s="77">
        <v>308</v>
      </c>
      <c r="AR11" s="77">
        <v>308</v>
      </c>
      <c r="AS11" s="77">
        <v>308</v>
      </c>
      <c r="AT11" s="77">
        <v>308</v>
      </c>
      <c r="AU11" s="17"/>
      <c r="AV11" s="22"/>
      <c r="AW11" s="18"/>
    </row>
    <row r="12" spans="1:49" ht="13.8" thickBot="1" x14ac:dyDescent="0.25"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W12" s="24"/>
    </row>
    <row r="13" spans="1:49" x14ac:dyDescent="0.2">
      <c r="A13" t="s">
        <v>8</v>
      </c>
      <c r="B13" t="s">
        <v>5</v>
      </c>
      <c r="C13" s="29">
        <f>$C$1</f>
        <v>46174</v>
      </c>
      <c r="D13" s="73" t="s">
        <v>50</v>
      </c>
      <c r="E13" s="64" t="s">
        <v>45</v>
      </c>
      <c r="F13" s="64" t="s">
        <v>41</v>
      </c>
      <c r="G13" s="64" t="s">
        <v>51</v>
      </c>
      <c r="H13" s="65" t="s">
        <v>31</v>
      </c>
      <c r="I13" s="64" t="s">
        <v>46</v>
      </c>
      <c r="J13" s="64" t="s">
        <v>28</v>
      </c>
      <c r="K13" s="64" t="s">
        <v>42</v>
      </c>
      <c r="L13" s="64" t="s">
        <v>35</v>
      </c>
      <c r="M13" s="64" t="s">
        <v>32</v>
      </c>
      <c r="N13" s="64" t="s">
        <v>47</v>
      </c>
      <c r="O13" s="64" t="s">
        <v>29</v>
      </c>
      <c r="P13" s="64" t="s">
        <v>43</v>
      </c>
      <c r="Q13" s="64" t="s">
        <v>36</v>
      </c>
      <c r="R13" s="64" t="s">
        <v>33</v>
      </c>
      <c r="S13" s="64" t="s">
        <v>48</v>
      </c>
      <c r="T13" s="64" t="s">
        <v>30</v>
      </c>
      <c r="U13" s="64" t="s">
        <v>44</v>
      </c>
      <c r="V13" s="64" t="s">
        <v>27</v>
      </c>
      <c r="W13" s="64" t="s">
        <v>34</v>
      </c>
      <c r="X13" s="64" t="s">
        <v>49</v>
      </c>
      <c r="Y13" s="64" t="s">
        <v>37</v>
      </c>
      <c r="Z13" s="64" t="s">
        <v>52</v>
      </c>
      <c r="AA13" s="66" t="s">
        <v>53</v>
      </c>
      <c r="AB13" s="66" t="s">
        <v>41</v>
      </c>
      <c r="AC13" s="66" t="s">
        <v>31</v>
      </c>
      <c r="AD13" s="67" t="s">
        <v>38</v>
      </c>
      <c r="AE13" s="67" t="s">
        <v>28</v>
      </c>
      <c r="AF13" s="67" t="s">
        <v>54</v>
      </c>
      <c r="AG13" s="67" t="s">
        <v>42</v>
      </c>
      <c r="AH13" s="67" t="s">
        <v>32</v>
      </c>
      <c r="AI13" s="67" t="s">
        <v>39</v>
      </c>
      <c r="AJ13" s="67" t="s">
        <v>29</v>
      </c>
      <c r="AK13" s="67" t="s">
        <v>55</v>
      </c>
      <c r="AL13" s="67" t="s">
        <v>43</v>
      </c>
      <c r="AM13" s="67" t="s">
        <v>40</v>
      </c>
      <c r="AN13" s="68" t="s">
        <v>30</v>
      </c>
      <c r="AO13" s="64" t="s">
        <v>56</v>
      </c>
      <c r="AP13" s="64" t="s">
        <v>44</v>
      </c>
      <c r="AQ13" s="64" t="s">
        <v>34</v>
      </c>
      <c r="AR13" s="64" t="s">
        <v>26</v>
      </c>
      <c r="AS13" s="64" t="s">
        <v>37</v>
      </c>
      <c r="AT13" s="64" t="s">
        <v>57</v>
      </c>
      <c r="AU13" s="25"/>
      <c r="AV13" s="20"/>
      <c r="AW13" s="23"/>
    </row>
    <row r="14" spans="1:49" x14ac:dyDescent="0.2">
      <c r="C14" s="12" t="s">
        <v>21</v>
      </c>
      <c r="D14" s="74">
        <v>85244</v>
      </c>
      <c r="E14" s="69">
        <v>50196</v>
      </c>
      <c r="F14" s="69">
        <v>77613</v>
      </c>
      <c r="G14" s="69">
        <v>42025</v>
      </c>
      <c r="H14" s="69">
        <v>56294</v>
      </c>
      <c r="I14" s="69">
        <v>72800</v>
      </c>
      <c r="J14" s="69">
        <v>48997</v>
      </c>
      <c r="K14" s="69">
        <v>56929</v>
      </c>
      <c r="L14" s="69">
        <v>42701</v>
      </c>
      <c r="M14" s="69">
        <v>35561</v>
      </c>
      <c r="N14" s="69">
        <v>62147</v>
      </c>
      <c r="O14" s="69">
        <v>53110</v>
      </c>
      <c r="P14" s="69">
        <v>79213</v>
      </c>
      <c r="Q14" s="69">
        <v>46010</v>
      </c>
      <c r="R14" s="69">
        <v>54115</v>
      </c>
      <c r="S14" s="69">
        <v>77849</v>
      </c>
      <c r="T14" s="69">
        <v>52220</v>
      </c>
      <c r="U14" s="69">
        <v>67332</v>
      </c>
      <c r="V14" s="69">
        <v>54035</v>
      </c>
      <c r="W14" s="69">
        <v>38972</v>
      </c>
      <c r="X14" s="69">
        <v>70745</v>
      </c>
      <c r="Y14" s="69">
        <v>43777</v>
      </c>
      <c r="Z14" s="69">
        <v>83553</v>
      </c>
      <c r="AA14" s="69">
        <v>41194</v>
      </c>
      <c r="AB14" s="69">
        <v>41341</v>
      </c>
      <c r="AC14" s="69">
        <v>64294</v>
      </c>
      <c r="AD14" s="69">
        <v>45092</v>
      </c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11"/>
      <c r="AV14" s="21"/>
      <c r="AW14" s="9"/>
    </row>
    <row r="15" spans="1:49" x14ac:dyDescent="0.2">
      <c r="C15" s="12" t="s">
        <v>3</v>
      </c>
      <c r="D15" s="75">
        <v>85.244</v>
      </c>
      <c r="E15" s="70">
        <v>50.195999999999998</v>
      </c>
      <c r="F15" s="70">
        <v>77.613</v>
      </c>
      <c r="G15" s="70">
        <v>42.024999999999999</v>
      </c>
      <c r="H15" s="70">
        <v>56.293999999999997</v>
      </c>
      <c r="I15" s="70">
        <v>72.8</v>
      </c>
      <c r="J15" s="70">
        <v>48.997</v>
      </c>
      <c r="K15" s="70">
        <v>56.929000000000002</v>
      </c>
      <c r="L15" s="70">
        <v>42.701000000000001</v>
      </c>
      <c r="M15" s="70">
        <v>35.561</v>
      </c>
      <c r="N15" s="70">
        <v>62.146999999999998</v>
      </c>
      <c r="O15" s="70">
        <v>53.11</v>
      </c>
      <c r="P15" s="70">
        <v>79.212999999999994</v>
      </c>
      <c r="Q15" s="70">
        <v>46.01</v>
      </c>
      <c r="R15" s="70">
        <v>54.115000000000002</v>
      </c>
      <c r="S15" s="70">
        <v>77.849000000000004</v>
      </c>
      <c r="T15" s="70">
        <v>52.22</v>
      </c>
      <c r="U15" s="70">
        <v>67.331999999999994</v>
      </c>
      <c r="V15" s="70">
        <v>54.034999999999997</v>
      </c>
      <c r="W15" s="70">
        <v>38.972000000000001</v>
      </c>
      <c r="X15" s="70">
        <v>70.745000000000005</v>
      </c>
      <c r="Y15" s="70">
        <v>43.777000000000001</v>
      </c>
      <c r="Z15" s="70">
        <v>83.552999999999997</v>
      </c>
      <c r="AA15" s="70">
        <v>41.194000000000003</v>
      </c>
      <c r="AB15" s="70">
        <v>41.341000000000001</v>
      </c>
      <c r="AC15" s="70">
        <v>64.293999999999997</v>
      </c>
      <c r="AD15" s="70">
        <v>45.091999999999999</v>
      </c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11"/>
      <c r="AV15" s="21"/>
      <c r="AW15" s="9"/>
    </row>
    <row r="16" spans="1:49" x14ac:dyDescent="0.2">
      <c r="C16" s="13" t="s">
        <v>22</v>
      </c>
      <c r="D16" s="76">
        <v>241</v>
      </c>
      <c r="E16" s="72">
        <v>256</v>
      </c>
      <c r="F16" s="72">
        <v>250</v>
      </c>
      <c r="G16" s="72">
        <v>278</v>
      </c>
      <c r="H16" s="72">
        <v>265</v>
      </c>
      <c r="I16" s="72">
        <v>295</v>
      </c>
      <c r="J16" s="72">
        <v>337</v>
      </c>
      <c r="K16" s="72">
        <v>324</v>
      </c>
      <c r="L16" s="72">
        <v>345</v>
      </c>
      <c r="M16" s="72">
        <v>351</v>
      </c>
      <c r="N16" s="72">
        <v>370</v>
      </c>
      <c r="O16" s="72">
        <v>390</v>
      </c>
      <c r="P16" s="72">
        <v>368</v>
      </c>
      <c r="Q16" s="72">
        <v>377</v>
      </c>
      <c r="R16" s="72">
        <v>379</v>
      </c>
      <c r="S16" s="72">
        <v>379</v>
      </c>
      <c r="T16" s="72">
        <v>362</v>
      </c>
      <c r="U16" s="72">
        <v>366</v>
      </c>
      <c r="V16" s="72">
        <v>382</v>
      </c>
      <c r="W16" s="72">
        <v>363</v>
      </c>
      <c r="X16" s="72">
        <v>402</v>
      </c>
      <c r="Y16" s="72">
        <v>375</v>
      </c>
      <c r="Z16" s="72">
        <v>396</v>
      </c>
      <c r="AA16" s="72">
        <v>406</v>
      </c>
      <c r="AB16" s="72">
        <v>433</v>
      </c>
      <c r="AC16" s="72">
        <v>454</v>
      </c>
      <c r="AD16" s="72">
        <v>477</v>
      </c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16"/>
      <c r="AV16" s="21"/>
      <c r="AW16" s="9"/>
    </row>
    <row r="17" spans="1:50" ht="13.8" thickBot="1" x14ac:dyDescent="0.25">
      <c r="C17" s="14" t="s">
        <v>20</v>
      </c>
      <c r="D17" s="77">
        <v>252</v>
      </c>
      <c r="E17" s="77">
        <v>252</v>
      </c>
      <c r="F17" s="77">
        <v>252</v>
      </c>
      <c r="G17" s="77">
        <v>252</v>
      </c>
      <c r="H17" s="77">
        <v>252</v>
      </c>
      <c r="I17" s="77">
        <v>252</v>
      </c>
      <c r="J17" s="77">
        <v>252</v>
      </c>
      <c r="K17" s="77">
        <v>258</v>
      </c>
      <c r="L17" s="77">
        <v>258</v>
      </c>
      <c r="M17" s="77">
        <v>258</v>
      </c>
      <c r="N17" s="77">
        <v>258</v>
      </c>
      <c r="O17" s="77">
        <v>258</v>
      </c>
      <c r="P17" s="77">
        <v>258</v>
      </c>
      <c r="Q17" s="77">
        <v>258</v>
      </c>
      <c r="R17" s="77">
        <v>258</v>
      </c>
      <c r="S17" s="77">
        <v>266</v>
      </c>
      <c r="T17" s="77">
        <v>266</v>
      </c>
      <c r="U17" s="77">
        <v>266</v>
      </c>
      <c r="V17" s="77">
        <v>266</v>
      </c>
      <c r="W17" s="77">
        <v>266</v>
      </c>
      <c r="X17" s="77">
        <v>266</v>
      </c>
      <c r="Y17" s="77">
        <v>266</v>
      </c>
      <c r="Z17" s="77">
        <v>280</v>
      </c>
      <c r="AA17" s="77">
        <v>280</v>
      </c>
      <c r="AB17" s="77">
        <v>280</v>
      </c>
      <c r="AC17" s="77">
        <v>280</v>
      </c>
      <c r="AD17" s="77">
        <v>280</v>
      </c>
      <c r="AE17" s="77">
        <v>280</v>
      </c>
      <c r="AF17" s="77">
        <v>280</v>
      </c>
      <c r="AG17" s="77">
        <v>316</v>
      </c>
      <c r="AH17" s="77">
        <v>316</v>
      </c>
      <c r="AI17" s="77">
        <v>316</v>
      </c>
      <c r="AJ17" s="77">
        <v>316</v>
      </c>
      <c r="AK17" s="77">
        <v>316</v>
      </c>
      <c r="AL17" s="77">
        <v>316</v>
      </c>
      <c r="AM17" s="77">
        <v>298</v>
      </c>
      <c r="AN17" s="77">
        <v>298</v>
      </c>
      <c r="AO17" s="77">
        <v>298</v>
      </c>
      <c r="AP17" s="77">
        <v>298</v>
      </c>
      <c r="AQ17" s="77">
        <v>298</v>
      </c>
      <c r="AR17" s="77">
        <v>298</v>
      </c>
      <c r="AS17" s="77">
        <v>298</v>
      </c>
      <c r="AT17" s="77">
        <v>298</v>
      </c>
      <c r="AU17" s="17"/>
      <c r="AV17" s="22"/>
      <c r="AW17" s="18"/>
    </row>
    <row r="18" spans="1:50" ht="13.8" thickBot="1" x14ac:dyDescent="0.25"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</row>
    <row r="19" spans="1:50" x14ac:dyDescent="0.2">
      <c r="A19" t="s">
        <v>8</v>
      </c>
      <c r="B19" t="s">
        <v>4</v>
      </c>
      <c r="C19" s="29">
        <f>$C$1</f>
        <v>46174</v>
      </c>
      <c r="D19" s="73" t="s">
        <v>50</v>
      </c>
      <c r="E19" s="64" t="s">
        <v>45</v>
      </c>
      <c r="F19" s="64" t="s">
        <v>41</v>
      </c>
      <c r="G19" s="64" t="s">
        <v>51</v>
      </c>
      <c r="H19" s="65" t="s">
        <v>31</v>
      </c>
      <c r="I19" s="64" t="s">
        <v>46</v>
      </c>
      <c r="J19" s="64" t="s">
        <v>28</v>
      </c>
      <c r="K19" s="64" t="s">
        <v>42</v>
      </c>
      <c r="L19" s="64" t="s">
        <v>35</v>
      </c>
      <c r="M19" s="64" t="s">
        <v>32</v>
      </c>
      <c r="N19" s="64" t="s">
        <v>47</v>
      </c>
      <c r="O19" s="64" t="s">
        <v>29</v>
      </c>
      <c r="P19" s="64" t="s">
        <v>43</v>
      </c>
      <c r="Q19" s="64" t="s">
        <v>36</v>
      </c>
      <c r="R19" s="64" t="s">
        <v>33</v>
      </c>
      <c r="S19" s="64" t="s">
        <v>48</v>
      </c>
      <c r="T19" s="64" t="s">
        <v>30</v>
      </c>
      <c r="U19" s="64" t="s">
        <v>44</v>
      </c>
      <c r="V19" s="64" t="s">
        <v>27</v>
      </c>
      <c r="W19" s="64" t="s">
        <v>34</v>
      </c>
      <c r="X19" s="64" t="s">
        <v>49</v>
      </c>
      <c r="Y19" s="64" t="s">
        <v>37</v>
      </c>
      <c r="Z19" s="64" t="s">
        <v>52</v>
      </c>
      <c r="AA19" s="66" t="s">
        <v>53</v>
      </c>
      <c r="AB19" s="66" t="s">
        <v>41</v>
      </c>
      <c r="AC19" s="66" t="s">
        <v>31</v>
      </c>
      <c r="AD19" s="67" t="s">
        <v>38</v>
      </c>
      <c r="AE19" s="67" t="s">
        <v>28</v>
      </c>
      <c r="AF19" s="67" t="s">
        <v>54</v>
      </c>
      <c r="AG19" s="67" t="s">
        <v>42</v>
      </c>
      <c r="AH19" s="67" t="s">
        <v>32</v>
      </c>
      <c r="AI19" s="67" t="s">
        <v>39</v>
      </c>
      <c r="AJ19" s="67" t="s">
        <v>29</v>
      </c>
      <c r="AK19" s="67" t="s">
        <v>55</v>
      </c>
      <c r="AL19" s="67" t="s">
        <v>43</v>
      </c>
      <c r="AM19" s="67" t="s">
        <v>40</v>
      </c>
      <c r="AN19" s="68" t="s">
        <v>30</v>
      </c>
      <c r="AO19" s="64" t="s">
        <v>56</v>
      </c>
      <c r="AP19" s="64" t="s">
        <v>44</v>
      </c>
      <c r="AQ19" s="64" t="s">
        <v>34</v>
      </c>
      <c r="AR19" s="64" t="s">
        <v>26</v>
      </c>
      <c r="AS19" s="64" t="s">
        <v>37</v>
      </c>
      <c r="AT19" s="64" t="s">
        <v>57</v>
      </c>
      <c r="AU19" s="25"/>
      <c r="AV19" s="20"/>
      <c r="AW19" s="23"/>
    </row>
    <row r="20" spans="1:50" x14ac:dyDescent="0.2">
      <c r="C20" s="12" t="s">
        <v>21</v>
      </c>
      <c r="D20" s="74">
        <v>64113</v>
      </c>
      <c r="E20" s="69">
        <v>59839</v>
      </c>
      <c r="F20" s="69">
        <v>74663</v>
      </c>
      <c r="G20" s="69">
        <v>41733</v>
      </c>
      <c r="H20" s="69">
        <v>45334</v>
      </c>
      <c r="I20" s="69">
        <v>59483</v>
      </c>
      <c r="J20" s="69">
        <v>60132</v>
      </c>
      <c r="K20" s="69">
        <v>65485</v>
      </c>
      <c r="L20" s="69">
        <v>38595</v>
      </c>
      <c r="M20" s="69">
        <v>37481</v>
      </c>
      <c r="N20" s="69">
        <v>50825</v>
      </c>
      <c r="O20" s="69">
        <v>52823</v>
      </c>
      <c r="P20" s="69">
        <v>68974</v>
      </c>
      <c r="Q20" s="69">
        <v>51991</v>
      </c>
      <c r="R20" s="69">
        <v>51708</v>
      </c>
      <c r="S20" s="69">
        <v>60541</v>
      </c>
      <c r="T20" s="69">
        <v>53166</v>
      </c>
      <c r="U20" s="69">
        <v>43801</v>
      </c>
      <c r="V20" s="69">
        <v>30773</v>
      </c>
      <c r="W20" s="69">
        <v>26772</v>
      </c>
      <c r="X20" s="69">
        <v>24652</v>
      </c>
      <c r="Y20" s="69">
        <v>26210</v>
      </c>
      <c r="Z20" s="69">
        <v>39715</v>
      </c>
      <c r="AA20" s="69">
        <v>26248</v>
      </c>
      <c r="AB20" s="69">
        <v>29308</v>
      </c>
      <c r="AC20" s="69">
        <v>37174</v>
      </c>
      <c r="AD20" s="69">
        <v>42716</v>
      </c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11"/>
      <c r="AV20" s="21"/>
      <c r="AW20" s="9"/>
    </row>
    <row r="21" spans="1:50" x14ac:dyDescent="0.2">
      <c r="C21" s="12" t="s">
        <v>3</v>
      </c>
      <c r="D21" s="75">
        <v>64.113</v>
      </c>
      <c r="E21" s="70">
        <v>59.838999999999999</v>
      </c>
      <c r="F21" s="70">
        <v>74.662999999999997</v>
      </c>
      <c r="G21" s="70">
        <v>41.732999999999997</v>
      </c>
      <c r="H21" s="70">
        <v>45.334000000000003</v>
      </c>
      <c r="I21" s="70">
        <v>59.482999999999997</v>
      </c>
      <c r="J21" s="70">
        <v>60.131999999999998</v>
      </c>
      <c r="K21" s="70">
        <v>65.484999999999999</v>
      </c>
      <c r="L21" s="70">
        <v>38.594999999999999</v>
      </c>
      <c r="M21" s="70">
        <v>37.481000000000002</v>
      </c>
      <c r="N21" s="70">
        <v>50.825000000000003</v>
      </c>
      <c r="O21" s="70">
        <v>52.823</v>
      </c>
      <c r="P21" s="70">
        <v>68.974000000000004</v>
      </c>
      <c r="Q21" s="70">
        <v>51.991</v>
      </c>
      <c r="R21" s="70">
        <v>51.707999999999998</v>
      </c>
      <c r="S21" s="70">
        <v>60.540999999999997</v>
      </c>
      <c r="T21" s="70">
        <v>53.165999999999997</v>
      </c>
      <c r="U21" s="70">
        <v>43.801000000000002</v>
      </c>
      <c r="V21" s="70">
        <v>30.773</v>
      </c>
      <c r="W21" s="70">
        <v>26.771999999999998</v>
      </c>
      <c r="X21" s="70">
        <v>24.652000000000001</v>
      </c>
      <c r="Y21" s="70">
        <v>26.21</v>
      </c>
      <c r="Z21" s="70">
        <v>39.715000000000003</v>
      </c>
      <c r="AA21" s="70">
        <v>26.248000000000001</v>
      </c>
      <c r="AB21" s="70">
        <v>29.308</v>
      </c>
      <c r="AC21" s="70">
        <v>37.173999999999999</v>
      </c>
      <c r="AD21" s="70">
        <v>42.716000000000001</v>
      </c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11"/>
      <c r="AV21" s="21"/>
      <c r="AW21" s="9"/>
    </row>
    <row r="22" spans="1:50" x14ac:dyDescent="0.2">
      <c r="C22" s="13" t="s">
        <v>22</v>
      </c>
      <c r="D22" s="76">
        <v>214</v>
      </c>
      <c r="E22" s="72">
        <v>227</v>
      </c>
      <c r="F22" s="72">
        <v>233</v>
      </c>
      <c r="G22" s="72">
        <v>247</v>
      </c>
      <c r="H22" s="72">
        <v>255</v>
      </c>
      <c r="I22" s="72">
        <v>277</v>
      </c>
      <c r="J22" s="72">
        <v>277</v>
      </c>
      <c r="K22" s="72">
        <v>294</v>
      </c>
      <c r="L22" s="72">
        <v>292</v>
      </c>
      <c r="M22" s="72">
        <v>343</v>
      </c>
      <c r="N22" s="72">
        <v>354</v>
      </c>
      <c r="O22" s="72">
        <v>360</v>
      </c>
      <c r="P22" s="72">
        <v>347</v>
      </c>
      <c r="Q22" s="72">
        <v>336</v>
      </c>
      <c r="R22" s="72">
        <v>327</v>
      </c>
      <c r="S22" s="72">
        <v>314</v>
      </c>
      <c r="T22" s="72">
        <v>314</v>
      </c>
      <c r="U22" s="72">
        <v>339</v>
      </c>
      <c r="V22" s="72">
        <v>347</v>
      </c>
      <c r="W22" s="72">
        <v>373</v>
      </c>
      <c r="X22" s="72">
        <v>394</v>
      </c>
      <c r="Y22" s="72">
        <v>399</v>
      </c>
      <c r="Z22" s="72">
        <v>421</v>
      </c>
      <c r="AA22" s="72">
        <v>428</v>
      </c>
      <c r="AB22" s="72">
        <v>464</v>
      </c>
      <c r="AC22" s="72">
        <v>489</v>
      </c>
      <c r="AD22" s="72">
        <v>499</v>
      </c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16"/>
      <c r="AV22" s="21"/>
      <c r="AW22" s="9"/>
    </row>
    <row r="23" spans="1:50" ht="13.8" thickBot="1" x14ac:dyDescent="0.25">
      <c r="C23" s="14" t="s">
        <v>20</v>
      </c>
      <c r="D23" s="77">
        <v>214</v>
      </c>
      <c r="E23" s="77">
        <v>214</v>
      </c>
      <c r="F23" s="77">
        <v>214</v>
      </c>
      <c r="G23" s="77">
        <v>214</v>
      </c>
      <c r="H23" s="77">
        <v>214</v>
      </c>
      <c r="I23" s="77">
        <v>214</v>
      </c>
      <c r="J23" s="77">
        <v>214</v>
      </c>
      <c r="K23" s="77">
        <v>198</v>
      </c>
      <c r="L23" s="77">
        <v>198</v>
      </c>
      <c r="M23" s="77">
        <v>198</v>
      </c>
      <c r="N23" s="77">
        <v>198</v>
      </c>
      <c r="O23" s="77">
        <v>198</v>
      </c>
      <c r="P23" s="77">
        <v>198</v>
      </c>
      <c r="Q23" s="77">
        <v>198</v>
      </c>
      <c r="R23" s="77">
        <v>198</v>
      </c>
      <c r="S23" s="77">
        <v>201</v>
      </c>
      <c r="T23" s="77">
        <v>201</v>
      </c>
      <c r="U23" s="77">
        <v>201</v>
      </c>
      <c r="V23" s="77">
        <v>201</v>
      </c>
      <c r="W23" s="77">
        <v>201</v>
      </c>
      <c r="X23" s="77">
        <v>201</v>
      </c>
      <c r="Y23" s="77">
        <v>201</v>
      </c>
      <c r="Z23" s="77">
        <v>252</v>
      </c>
      <c r="AA23" s="77">
        <v>252</v>
      </c>
      <c r="AB23" s="77">
        <v>252</v>
      </c>
      <c r="AC23" s="77">
        <v>252</v>
      </c>
      <c r="AD23" s="77">
        <v>252</v>
      </c>
      <c r="AE23" s="77">
        <v>252</v>
      </c>
      <c r="AF23" s="77">
        <v>252</v>
      </c>
      <c r="AG23" s="77">
        <v>308</v>
      </c>
      <c r="AH23" s="77">
        <v>308</v>
      </c>
      <c r="AI23" s="77">
        <v>308</v>
      </c>
      <c r="AJ23" s="77">
        <v>308</v>
      </c>
      <c r="AK23" s="77">
        <v>308</v>
      </c>
      <c r="AL23" s="77">
        <v>308</v>
      </c>
      <c r="AM23" s="77">
        <v>303</v>
      </c>
      <c r="AN23" s="77">
        <v>303</v>
      </c>
      <c r="AO23" s="77">
        <v>303</v>
      </c>
      <c r="AP23" s="77">
        <v>303</v>
      </c>
      <c r="AQ23" s="77">
        <v>303</v>
      </c>
      <c r="AR23" s="77">
        <v>303</v>
      </c>
      <c r="AS23" s="77">
        <v>303</v>
      </c>
      <c r="AT23" s="77">
        <v>303</v>
      </c>
      <c r="AU23" s="22"/>
      <c r="AV23" s="22"/>
      <c r="AW23" s="18"/>
    </row>
    <row r="24" spans="1:50" x14ac:dyDescent="0.2">
      <c r="C24" s="4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3"/>
    </row>
    <row r="25" spans="1:50" s="6" customFormat="1" ht="0.75" customHeight="1" x14ac:dyDescent="0.2">
      <c r="C25" s="7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31"/>
    </row>
    <row r="26" spans="1:50" ht="13.8" thickBot="1" x14ac:dyDescent="0.25"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</row>
    <row r="27" spans="1:50" x14ac:dyDescent="0.2">
      <c r="A27" s="5" t="s">
        <v>9</v>
      </c>
      <c r="B27" t="s">
        <v>7</v>
      </c>
      <c r="C27" s="15">
        <f>$C$1</f>
        <v>46174</v>
      </c>
      <c r="D27" s="73" t="s">
        <v>50</v>
      </c>
      <c r="E27" s="64" t="s">
        <v>45</v>
      </c>
      <c r="F27" s="64" t="s">
        <v>41</v>
      </c>
      <c r="G27" s="64" t="s">
        <v>51</v>
      </c>
      <c r="H27" s="65" t="s">
        <v>31</v>
      </c>
      <c r="I27" s="64" t="s">
        <v>46</v>
      </c>
      <c r="J27" s="64" t="s">
        <v>28</v>
      </c>
      <c r="K27" s="64" t="s">
        <v>42</v>
      </c>
      <c r="L27" s="64" t="s">
        <v>35</v>
      </c>
      <c r="M27" s="64" t="s">
        <v>32</v>
      </c>
      <c r="N27" s="64" t="s">
        <v>47</v>
      </c>
      <c r="O27" s="64" t="s">
        <v>29</v>
      </c>
      <c r="P27" s="64" t="s">
        <v>43</v>
      </c>
      <c r="Q27" s="64" t="s">
        <v>36</v>
      </c>
      <c r="R27" s="64" t="s">
        <v>33</v>
      </c>
      <c r="S27" s="64" t="s">
        <v>48</v>
      </c>
      <c r="T27" s="64" t="s">
        <v>30</v>
      </c>
      <c r="U27" s="64" t="s">
        <v>44</v>
      </c>
      <c r="V27" s="64" t="s">
        <v>27</v>
      </c>
      <c r="W27" s="64" t="s">
        <v>34</v>
      </c>
      <c r="X27" s="64" t="s">
        <v>49</v>
      </c>
      <c r="Y27" s="64" t="s">
        <v>37</v>
      </c>
      <c r="Z27" s="64" t="s">
        <v>52</v>
      </c>
      <c r="AA27" s="66" t="s">
        <v>53</v>
      </c>
      <c r="AB27" s="66" t="s">
        <v>41</v>
      </c>
      <c r="AC27" s="66" t="s">
        <v>31</v>
      </c>
      <c r="AD27" s="67" t="s">
        <v>38</v>
      </c>
      <c r="AE27" s="67" t="s">
        <v>28</v>
      </c>
      <c r="AF27" s="67" t="s">
        <v>54</v>
      </c>
      <c r="AG27" s="67" t="s">
        <v>42</v>
      </c>
      <c r="AH27" s="67" t="s">
        <v>32</v>
      </c>
      <c r="AI27" s="67" t="s">
        <v>39</v>
      </c>
      <c r="AJ27" s="67" t="s">
        <v>29</v>
      </c>
      <c r="AK27" s="67" t="s">
        <v>55</v>
      </c>
      <c r="AL27" s="67" t="s">
        <v>43</v>
      </c>
      <c r="AM27" s="67" t="s">
        <v>40</v>
      </c>
      <c r="AN27" s="68" t="s">
        <v>30</v>
      </c>
      <c r="AO27" s="64" t="s">
        <v>56</v>
      </c>
      <c r="AP27" s="64" t="s">
        <v>44</v>
      </c>
      <c r="AQ27" s="64" t="s">
        <v>34</v>
      </c>
      <c r="AR27" s="64" t="s">
        <v>26</v>
      </c>
      <c r="AS27" s="64" t="s">
        <v>37</v>
      </c>
      <c r="AT27" s="64" t="s">
        <v>57</v>
      </c>
      <c r="AU27" s="25"/>
      <c r="AV27" s="20"/>
      <c r="AW27" s="23"/>
    </row>
    <row r="28" spans="1:50" s="8" customFormat="1" x14ac:dyDescent="0.2">
      <c r="C28" s="12" t="s">
        <v>21</v>
      </c>
      <c r="D28" s="74">
        <v>309851</v>
      </c>
      <c r="E28" s="69">
        <v>201732</v>
      </c>
      <c r="F28" s="69">
        <v>371897</v>
      </c>
      <c r="G28" s="69">
        <v>199208</v>
      </c>
      <c r="H28" s="69">
        <v>286082</v>
      </c>
      <c r="I28" s="69">
        <v>357158</v>
      </c>
      <c r="J28" s="69">
        <v>229150</v>
      </c>
      <c r="K28" s="69">
        <v>347238</v>
      </c>
      <c r="L28" s="69">
        <v>172325</v>
      </c>
      <c r="M28" s="69">
        <v>196950</v>
      </c>
      <c r="N28" s="69">
        <v>254998</v>
      </c>
      <c r="O28" s="69">
        <v>183997</v>
      </c>
      <c r="P28" s="69">
        <v>307019</v>
      </c>
      <c r="Q28" s="69">
        <v>167138</v>
      </c>
      <c r="R28" s="69">
        <v>212113</v>
      </c>
      <c r="S28" s="69">
        <v>275617</v>
      </c>
      <c r="T28" s="69">
        <v>200644</v>
      </c>
      <c r="U28" s="69">
        <v>370715</v>
      </c>
      <c r="V28" s="69">
        <v>191357</v>
      </c>
      <c r="W28" s="69">
        <v>216975</v>
      </c>
      <c r="X28" s="69">
        <v>267434</v>
      </c>
      <c r="Y28" s="69">
        <v>185688</v>
      </c>
      <c r="Z28" s="69">
        <v>292095</v>
      </c>
      <c r="AA28" s="69">
        <v>158347</v>
      </c>
      <c r="AB28" s="69">
        <v>172562</v>
      </c>
      <c r="AC28" s="69">
        <v>255824</v>
      </c>
      <c r="AD28" s="69">
        <v>188036</v>
      </c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11"/>
      <c r="AV28" s="21"/>
      <c r="AW28" s="9"/>
      <c r="AX28"/>
    </row>
    <row r="29" spans="1:50" s="8" customFormat="1" x14ac:dyDescent="0.2">
      <c r="C29" s="12" t="s">
        <v>3</v>
      </c>
      <c r="D29" s="75">
        <v>309.851</v>
      </c>
      <c r="E29" s="70">
        <v>201.732</v>
      </c>
      <c r="F29" s="70">
        <v>371.89699999999999</v>
      </c>
      <c r="G29" s="70">
        <v>199.208</v>
      </c>
      <c r="H29" s="70">
        <v>286.08199999999999</v>
      </c>
      <c r="I29" s="70">
        <v>357.15800000000002</v>
      </c>
      <c r="J29" s="70">
        <v>229.15</v>
      </c>
      <c r="K29" s="70">
        <v>347.238</v>
      </c>
      <c r="L29" s="70">
        <v>172.32499999999999</v>
      </c>
      <c r="M29" s="70">
        <v>196.95</v>
      </c>
      <c r="N29" s="70">
        <v>254.99799999999999</v>
      </c>
      <c r="O29" s="70">
        <v>183.99700000000001</v>
      </c>
      <c r="P29" s="70">
        <v>307.01900000000001</v>
      </c>
      <c r="Q29" s="70">
        <v>167.13800000000001</v>
      </c>
      <c r="R29" s="70">
        <v>212.113</v>
      </c>
      <c r="S29" s="70">
        <v>275.61700000000002</v>
      </c>
      <c r="T29" s="70">
        <v>200.64400000000001</v>
      </c>
      <c r="U29" s="70">
        <v>370.71499999999997</v>
      </c>
      <c r="V29" s="70">
        <v>191.357</v>
      </c>
      <c r="W29" s="70">
        <v>216.97499999999999</v>
      </c>
      <c r="X29" s="70">
        <v>267.43400000000003</v>
      </c>
      <c r="Y29" s="70">
        <v>185.68799999999999</v>
      </c>
      <c r="Z29" s="70">
        <v>292.09500000000003</v>
      </c>
      <c r="AA29" s="70">
        <v>158.34700000000001</v>
      </c>
      <c r="AB29" s="70">
        <v>172.56200000000001</v>
      </c>
      <c r="AC29" s="70">
        <v>255.82400000000001</v>
      </c>
      <c r="AD29" s="70">
        <v>188.036</v>
      </c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11"/>
      <c r="AV29" s="21"/>
      <c r="AW29" s="9"/>
      <c r="AX29"/>
    </row>
    <row r="30" spans="1:50" x14ac:dyDescent="0.2">
      <c r="C30" s="13" t="s">
        <v>22</v>
      </c>
      <c r="D30" s="76">
        <v>390</v>
      </c>
      <c r="E30" s="72">
        <v>404</v>
      </c>
      <c r="F30" s="72">
        <v>402</v>
      </c>
      <c r="G30" s="72">
        <v>402</v>
      </c>
      <c r="H30" s="72">
        <v>417</v>
      </c>
      <c r="I30" s="72">
        <v>398</v>
      </c>
      <c r="J30" s="72">
        <v>403</v>
      </c>
      <c r="K30" s="72">
        <v>406</v>
      </c>
      <c r="L30" s="72">
        <v>409</v>
      </c>
      <c r="M30" s="72">
        <v>427</v>
      </c>
      <c r="N30" s="72">
        <v>412</v>
      </c>
      <c r="O30" s="72">
        <v>418</v>
      </c>
      <c r="P30" s="72">
        <v>430</v>
      </c>
      <c r="Q30" s="72">
        <v>429</v>
      </c>
      <c r="R30" s="72">
        <v>448</v>
      </c>
      <c r="S30" s="72">
        <v>442</v>
      </c>
      <c r="T30" s="72">
        <v>449</v>
      </c>
      <c r="U30" s="72">
        <v>441</v>
      </c>
      <c r="V30" s="72">
        <v>447</v>
      </c>
      <c r="W30" s="72">
        <v>451</v>
      </c>
      <c r="X30" s="72">
        <v>442</v>
      </c>
      <c r="Y30" s="72">
        <v>447</v>
      </c>
      <c r="Z30" s="72">
        <v>450</v>
      </c>
      <c r="AA30" s="72">
        <v>454</v>
      </c>
      <c r="AB30" s="72">
        <v>481</v>
      </c>
      <c r="AC30" s="72">
        <v>460</v>
      </c>
      <c r="AD30" s="72">
        <v>486</v>
      </c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16"/>
      <c r="AV30" s="21"/>
      <c r="AW30" s="9"/>
    </row>
    <row r="31" spans="1:50" ht="13.8" thickBot="1" x14ac:dyDescent="0.25">
      <c r="C31" s="14" t="s">
        <v>20</v>
      </c>
      <c r="D31" s="77">
        <v>317</v>
      </c>
      <c r="E31" s="77">
        <v>317</v>
      </c>
      <c r="F31" s="77">
        <v>317</v>
      </c>
      <c r="G31" s="77">
        <v>317</v>
      </c>
      <c r="H31" s="77">
        <v>317</v>
      </c>
      <c r="I31" s="77">
        <v>317</v>
      </c>
      <c r="J31" s="77">
        <v>317</v>
      </c>
      <c r="K31" s="77">
        <v>351</v>
      </c>
      <c r="L31" s="77">
        <v>351</v>
      </c>
      <c r="M31" s="77">
        <v>351</v>
      </c>
      <c r="N31" s="77">
        <v>351</v>
      </c>
      <c r="O31" s="77">
        <v>351</v>
      </c>
      <c r="P31" s="77">
        <v>351</v>
      </c>
      <c r="Q31" s="77">
        <v>351</v>
      </c>
      <c r="R31" s="77">
        <v>351</v>
      </c>
      <c r="S31" s="77">
        <v>325</v>
      </c>
      <c r="T31" s="77">
        <v>325</v>
      </c>
      <c r="U31" s="77">
        <v>325</v>
      </c>
      <c r="V31" s="77">
        <v>325</v>
      </c>
      <c r="W31" s="77">
        <v>325</v>
      </c>
      <c r="X31" s="77">
        <v>325</v>
      </c>
      <c r="Y31" s="77">
        <v>325</v>
      </c>
      <c r="Z31" s="77">
        <v>353</v>
      </c>
      <c r="AA31" s="77">
        <v>353</v>
      </c>
      <c r="AB31" s="77">
        <v>353</v>
      </c>
      <c r="AC31" s="77">
        <v>353</v>
      </c>
      <c r="AD31" s="77">
        <v>353</v>
      </c>
      <c r="AE31" s="77">
        <v>353</v>
      </c>
      <c r="AF31" s="77">
        <v>353</v>
      </c>
      <c r="AG31" s="77">
        <v>366</v>
      </c>
      <c r="AH31" s="77">
        <v>366</v>
      </c>
      <c r="AI31" s="77">
        <v>366</v>
      </c>
      <c r="AJ31" s="77">
        <v>366</v>
      </c>
      <c r="AK31" s="77">
        <v>366</v>
      </c>
      <c r="AL31" s="77">
        <v>366</v>
      </c>
      <c r="AM31" s="77">
        <v>374</v>
      </c>
      <c r="AN31" s="77">
        <v>374</v>
      </c>
      <c r="AO31" s="77">
        <v>374</v>
      </c>
      <c r="AP31" s="77">
        <v>374</v>
      </c>
      <c r="AQ31" s="77">
        <v>374</v>
      </c>
      <c r="AR31" s="77">
        <v>374</v>
      </c>
      <c r="AS31" s="77">
        <v>374</v>
      </c>
      <c r="AT31" s="77">
        <v>374</v>
      </c>
      <c r="AU31" s="17"/>
      <c r="AV31" s="22"/>
      <c r="AW31" s="18"/>
    </row>
    <row r="32" spans="1:50" ht="13.8" thickBot="1" x14ac:dyDescent="0.25"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</row>
    <row r="33" spans="1:50" x14ac:dyDescent="0.2">
      <c r="A33" t="s">
        <v>9</v>
      </c>
      <c r="B33" t="s">
        <v>6</v>
      </c>
      <c r="C33" s="29">
        <f>$C$1</f>
        <v>46174</v>
      </c>
      <c r="D33" s="73" t="s">
        <v>50</v>
      </c>
      <c r="E33" s="64" t="s">
        <v>45</v>
      </c>
      <c r="F33" s="64" t="s">
        <v>41</v>
      </c>
      <c r="G33" s="64" t="s">
        <v>51</v>
      </c>
      <c r="H33" s="65" t="s">
        <v>31</v>
      </c>
      <c r="I33" s="64" t="s">
        <v>46</v>
      </c>
      <c r="J33" s="64" t="s">
        <v>28</v>
      </c>
      <c r="K33" s="64" t="s">
        <v>42</v>
      </c>
      <c r="L33" s="64" t="s">
        <v>35</v>
      </c>
      <c r="M33" s="64" t="s">
        <v>32</v>
      </c>
      <c r="N33" s="64" t="s">
        <v>47</v>
      </c>
      <c r="O33" s="64" t="s">
        <v>29</v>
      </c>
      <c r="P33" s="64" t="s">
        <v>43</v>
      </c>
      <c r="Q33" s="64" t="s">
        <v>36</v>
      </c>
      <c r="R33" s="64" t="s">
        <v>33</v>
      </c>
      <c r="S33" s="64" t="s">
        <v>48</v>
      </c>
      <c r="T33" s="64" t="s">
        <v>30</v>
      </c>
      <c r="U33" s="64" t="s">
        <v>44</v>
      </c>
      <c r="V33" s="64" t="s">
        <v>27</v>
      </c>
      <c r="W33" s="64" t="s">
        <v>34</v>
      </c>
      <c r="X33" s="64" t="s">
        <v>49</v>
      </c>
      <c r="Y33" s="64" t="s">
        <v>37</v>
      </c>
      <c r="Z33" s="64" t="s">
        <v>52</v>
      </c>
      <c r="AA33" s="66" t="s">
        <v>53</v>
      </c>
      <c r="AB33" s="66" t="s">
        <v>41</v>
      </c>
      <c r="AC33" s="66" t="s">
        <v>31</v>
      </c>
      <c r="AD33" s="67" t="s">
        <v>38</v>
      </c>
      <c r="AE33" s="67" t="s">
        <v>28</v>
      </c>
      <c r="AF33" s="67" t="s">
        <v>54</v>
      </c>
      <c r="AG33" s="67" t="s">
        <v>42</v>
      </c>
      <c r="AH33" s="67" t="s">
        <v>32</v>
      </c>
      <c r="AI33" s="67" t="s">
        <v>39</v>
      </c>
      <c r="AJ33" s="67" t="s">
        <v>29</v>
      </c>
      <c r="AK33" s="67" t="s">
        <v>55</v>
      </c>
      <c r="AL33" s="67" t="s">
        <v>43</v>
      </c>
      <c r="AM33" s="67" t="s">
        <v>40</v>
      </c>
      <c r="AN33" s="68" t="s">
        <v>30</v>
      </c>
      <c r="AO33" s="64" t="s">
        <v>56</v>
      </c>
      <c r="AP33" s="64" t="s">
        <v>44</v>
      </c>
      <c r="AQ33" s="64" t="s">
        <v>34</v>
      </c>
      <c r="AR33" s="64" t="s">
        <v>26</v>
      </c>
      <c r="AS33" s="64" t="s">
        <v>37</v>
      </c>
      <c r="AT33" s="64" t="s">
        <v>57</v>
      </c>
      <c r="AU33" s="25"/>
      <c r="AV33" s="20"/>
      <c r="AW33" s="23"/>
    </row>
    <row r="34" spans="1:50" s="8" customFormat="1" x14ac:dyDescent="0.2">
      <c r="C34" s="12" t="s">
        <v>21</v>
      </c>
      <c r="D34" s="74">
        <v>92629</v>
      </c>
      <c r="E34" s="69">
        <v>58246</v>
      </c>
      <c r="F34" s="69">
        <v>105395</v>
      </c>
      <c r="G34" s="69">
        <v>59839</v>
      </c>
      <c r="H34" s="69">
        <v>70196</v>
      </c>
      <c r="I34" s="69">
        <v>93370</v>
      </c>
      <c r="J34" s="69">
        <v>56257</v>
      </c>
      <c r="K34" s="69">
        <v>81138</v>
      </c>
      <c r="L34" s="69">
        <v>47032</v>
      </c>
      <c r="M34" s="69">
        <v>58368</v>
      </c>
      <c r="N34" s="69">
        <v>70993</v>
      </c>
      <c r="O34" s="69">
        <v>54740</v>
      </c>
      <c r="P34" s="69">
        <v>103652</v>
      </c>
      <c r="Q34" s="69">
        <v>48646</v>
      </c>
      <c r="R34" s="69">
        <v>58606</v>
      </c>
      <c r="S34" s="69">
        <v>70210</v>
      </c>
      <c r="T34" s="69">
        <v>61850</v>
      </c>
      <c r="U34" s="69">
        <v>88672</v>
      </c>
      <c r="V34" s="69">
        <v>40610</v>
      </c>
      <c r="W34" s="69">
        <v>52891</v>
      </c>
      <c r="X34" s="69">
        <v>48356</v>
      </c>
      <c r="Y34" s="69">
        <v>58238</v>
      </c>
      <c r="Z34" s="69">
        <v>49356</v>
      </c>
      <c r="AA34" s="69">
        <v>23661</v>
      </c>
      <c r="AB34" s="69">
        <v>43160</v>
      </c>
      <c r="AC34" s="69">
        <v>40402</v>
      </c>
      <c r="AD34" s="69">
        <v>50126</v>
      </c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11"/>
      <c r="AV34" s="21"/>
      <c r="AW34" s="9"/>
      <c r="AX34"/>
    </row>
    <row r="35" spans="1:50" s="8" customFormat="1" x14ac:dyDescent="0.2">
      <c r="C35" s="12" t="s">
        <v>3</v>
      </c>
      <c r="D35" s="75">
        <v>92.629000000000005</v>
      </c>
      <c r="E35" s="70">
        <v>58.246000000000002</v>
      </c>
      <c r="F35" s="70">
        <v>105.395</v>
      </c>
      <c r="G35" s="70">
        <v>59.838999999999999</v>
      </c>
      <c r="H35" s="70">
        <v>70.195999999999998</v>
      </c>
      <c r="I35" s="70">
        <v>93.37</v>
      </c>
      <c r="J35" s="70">
        <v>56.256999999999998</v>
      </c>
      <c r="K35" s="70">
        <v>81.138000000000005</v>
      </c>
      <c r="L35" s="70">
        <v>47.031999999999996</v>
      </c>
      <c r="M35" s="70">
        <v>58.368000000000002</v>
      </c>
      <c r="N35" s="70">
        <v>70.992999999999995</v>
      </c>
      <c r="O35" s="70">
        <v>54.74</v>
      </c>
      <c r="P35" s="70">
        <v>103.652</v>
      </c>
      <c r="Q35" s="70">
        <v>48.646000000000001</v>
      </c>
      <c r="R35" s="70">
        <v>58.606000000000002</v>
      </c>
      <c r="S35" s="70">
        <v>70.209999999999994</v>
      </c>
      <c r="T35" s="70">
        <v>61.85</v>
      </c>
      <c r="U35" s="70">
        <v>88.671999999999997</v>
      </c>
      <c r="V35" s="70">
        <v>40.61</v>
      </c>
      <c r="W35" s="70">
        <v>52.890999999999998</v>
      </c>
      <c r="X35" s="70">
        <v>48.356000000000002</v>
      </c>
      <c r="Y35" s="70">
        <v>58.238</v>
      </c>
      <c r="Z35" s="70">
        <v>49.356000000000002</v>
      </c>
      <c r="AA35" s="70">
        <v>23.661000000000001</v>
      </c>
      <c r="AB35" s="70">
        <v>43.16</v>
      </c>
      <c r="AC35" s="70">
        <v>40.402000000000001</v>
      </c>
      <c r="AD35" s="70">
        <v>50.125999999999998</v>
      </c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11"/>
      <c r="AV35" s="21"/>
      <c r="AW35" s="9"/>
      <c r="AX35"/>
    </row>
    <row r="36" spans="1:50" x14ac:dyDescent="0.2">
      <c r="C36" s="13" t="s">
        <v>22</v>
      </c>
      <c r="D36" s="76">
        <v>330</v>
      </c>
      <c r="E36" s="72">
        <v>337</v>
      </c>
      <c r="F36" s="72">
        <v>330</v>
      </c>
      <c r="G36" s="72">
        <v>335</v>
      </c>
      <c r="H36" s="72">
        <v>341</v>
      </c>
      <c r="I36" s="72">
        <v>333</v>
      </c>
      <c r="J36" s="72">
        <v>348</v>
      </c>
      <c r="K36" s="72">
        <v>343</v>
      </c>
      <c r="L36" s="72">
        <v>347</v>
      </c>
      <c r="M36" s="72">
        <v>357</v>
      </c>
      <c r="N36" s="72">
        <v>365</v>
      </c>
      <c r="O36" s="72">
        <v>418</v>
      </c>
      <c r="P36" s="72">
        <v>401</v>
      </c>
      <c r="Q36" s="72">
        <v>384</v>
      </c>
      <c r="R36" s="72">
        <v>393</v>
      </c>
      <c r="S36" s="72">
        <v>379</v>
      </c>
      <c r="T36" s="72">
        <v>412</v>
      </c>
      <c r="U36" s="72">
        <v>380</v>
      </c>
      <c r="V36" s="72">
        <v>380</v>
      </c>
      <c r="W36" s="72">
        <v>381</v>
      </c>
      <c r="X36" s="72">
        <v>394</v>
      </c>
      <c r="Y36" s="72">
        <v>427</v>
      </c>
      <c r="Z36" s="72">
        <v>410</v>
      </c>
      <c r="AA36" s="72">
        <v>433</v>
      </c>
      <c r="AB36" s="72">
        <v>430</v>
      </c>
      <c r="AC36" s="72">
        <v>452</v>
      </c>
      <c r="AD36" s="72">
        <v>463</v>
      </c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16"/>
      <c r="AV36" s="21"/>
      <c r="AW36" s="9"/>
    </row>
    <row r="37" spans="1:50" ht="13.8" thickBot="1" x14ac:dyDescent="0.25">
      <c r="C37" s="14" t="s">
        <v>20</v>
      </c>
      <c r="D37" s="77">
        <v>269</v>
      </c>
      <c r="E37" s="77">
        <v>269</v>
      </c>
      <c r="F37" s="77">
        <v>269</v>
      </c>
      <c r="G37" s="77">
        <v>269</v>
      </c>
      <c r="H37" s="77">
        <v>269</v>
      </c>
      <c r="I37" s="77">
        <v>269</v>
      </c>
      <c r="J37" s="77">
        <v>269</v>
      </c>
      <c r="K37" s="77">
        <v>294</v>
      </c>
      <c r="L37" s="77">
        <v>294</v>
      </c>
      <c r="M37" s="77">
        <v>294</v>
      </c>
      <c r="N37" s="77">
        <v>294</v>
      </c>
      <c r="O37" s="77">
        <v>294</v>
      </c>
      <c r="P37" s="77">
        <v>294</v>
      </c>
      <c r="Q37" s="77">
        <v>294</v>
      </c>
      <c r="R37" s="77">
        <v>294</v>
      </c>
      <c r="S37" s="77">
        <v>284</v>
      </c>
      <c r="T37" s="77">
        <v>284</v>
      </c>
      <c r="U37" s="77">
        <v>284</v>
      </c>
      <c r="V37" s="77">
        <v>284</v>
      </c>
      <c r="W37" s="77">
        <v>284</v>
      </c>
      <c r="X37" s="77">
        <v>284</v>
      </c>
      <c r="Y37" s="77">
        <v>284</v>
      </c>
      <c r="Z37" s="77">
        <v>314</v>
      </c>
      <c r="AA37" s="77">
        <v>314</v>
      </c>
      <c r="AB37" s="77">
        <v>314</v>
      </c>
      <c r="AC37" s="77">
        <v>314</v>
      </c>
      <c r="AD37" s="77">
        <v>314</v>
      </c>
      <c r="AE37" s="77">
        <v>314</v>
      </c>
      <c r="AF37" s="77">
        <v>314</v>
      </c>
      <c r="AG37" s="77">
        <v>348</v>
      </c>
      <c r="AH37" s="77">
        <v>348</v>
      </c>
      <c r="AI37" s="77">
        <v>348</v>
      </c>
      <c r="AJ37" s="77">
        <v>348</v>
      </c>
      <c r="AK37" s="77">
        <v>348</v>
      </c>
      <c r="AL37" s="77">
        <v>348</v>
      </c>
      <c r="AM37" s="77">
        <v>367</v>
      </c>
      <c r="AN37" s="77">
        <v>367</v>
      </c>
      <c r="AO37" s="77">
        <v>367</v>
      </c>
      <c r="AP37" s="77">
        <v>367</v>
      </c>
      <c r="AQ37" s="77">
        <v>367</v>
      </c>
      <c r="AR37" s="77">
        <v>367</v>
      </c>
      <c r="AS37" s="77">
        <v>367</v>
      </c>
      <c r="AT37" s="77">
        <v>367</v>
      </c>
      <c r="AU37" s="30"/>
      <c r="AV37" s="22"/>
      <c r="AW37" s="18"/>
    </row>
    <row r="38" spans="1:50" ht="13.8" thickBot="1" x14ac:dyDescent="0.25"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</row>
    <row r="39" spans="1:50" x14ac:dyDescent="0.2">
      <c r="A39" t="s">
        <v>9</v>
      </c>
      <c r="B39" t="s">
        <v>5</v>
      </c>
      <c r="C39" s="29">
        <f>$C$1</f>
        <v>46174</v>
      </c>
      <c r="D39" s="73" t="s">
        <v>50</v>
      </c>
      <c r="E39" s="64" t="s">
        <v>45</v>
      </c>
      <c r="F39" s="64" t="s">
        <v>41</v>
      </c>
      <c r="G39" s="64" t="s">
        <v>51</v>
      </c>
      <c r="H39" s="65" t="s">
        <v>31</v>
      </c>
      <c r="I39" s="64" t="s">
        <v>46</v>
      </c>
      <c r="J39" s="64" t="s">
        <v>28</v>
      </c>
      <c r="K39" s="64" t="s">
        <v>42</v>
      </c>
      <c r="L39" s="64" t="s">
        <v>35</v>
      </c>
      <c r="M39" s="64" t="s">
        <v>32</v>
      </c>
      <c r="N39" s="64" t="s">
        <v>47</v>
      </c>
      <c r="O39" s="64" t="s">
        <v>29</v>
      </c>
      <c r="P39" s="64" t="s">
        <v>43</v>
      </c>
      <c r="Q39" s="64" t="s">
        <v>36</v>
      </c>
      <c r="R39" s="64" t="s">
        <v>33</v>
      </c>
      <c r="S39" s="64" t="s">
        <v>48</v>
      </c>
      <c r="T39" s="64" t="s">
        <v>30</v>
      </c>
      <c r="U39" s="64" t="s">
        <v>44</v>
      </c>
      <c r="V39" s="64" t="s">
        <v>27</v>
      </c>
      <c r="W39" s="64" t="s">
        <v>34</v>
      </c>
      <c r="X39" s="64" t="s">
        <v>49</v>
      </c>
      <c r="Y39" s="64" t="s">
        <v>37</v>
      </c>
      <c r="Z39" s="64" t="s">
        <v>52</v>
      </c>
      <c r="AA39" s="66" t="s">
        <v>53</v>
      </c>
      <c r="AB39" s="66" t="s">
        <v>41</v>
      </c>
      <c r="AC39" s="66" t="s">
        <v>31</v>
      </c>
      <c r="AD39" s="67" t="s">
        <v>38</v>
      </c>
      <c r="AE39" s="67" t="s">
        <v>28</v>
      </c>
      <c r="AF39" s="67" t="s">
        <v>54</v>
      </c>
      <c r="AG39" s="67" t="s">
        <v>42</v>
      </c>
      <c r="AH39" s="67" t="s">
        <v>32</v>
      </c>
      <c r="AI39" s="67" t="s">
        <v>39</v>
      </c>
      <c r="AJ39" s="67" t="s">
        <v>29</v>
      </c>
      <c r="AK39" s="67" t="s">
        <v>55</v>
      </c>
      <c r="AL39" s="67" t="s">
        <v>43</v>
      </c>
      <c r="AM39" s="67" t="s">
        <v>40</v>
      </c>
      <c r="AN39" s="68" t="s">
        <v>30</v>
      </c>
      <c r="AO39" s="64" t="s">
        <v>56</v>
      </c>
      <c r="AP39" s="64" t="s">
        <v>44</v>
      </c>
      <c r="AQ39" s="64" t="s">
        <v>34</v>
      </c>
      <c r="AR39" s="64" t="s">
        <v>26</v>
      </c>
      <c r="AS39" s="64" t="s">
        <v>37</v>
      </c>
      <c r="AT39" s="64" t="s">
        <v>57</v>
      </c>
      <c r="AU39" s="25"/>
      <c r="AV39" s="20"/>
      <c r="AW39" s="23"/>
    </row>
    <row r="40" spans="1:50" s="8" customFormat="1" x14ac:dyDescent="0.2">
      <c r="C40" s="12" t="s">
        <v>21</v>
      </c>
      <c r="D40" s="74">
        <v>116022</v>
      </c>
      <c r="E40" s="69">
        <v>70417</v>
      </c>
      <c r="F40" s="69">
        <v>112553</v>
      </c>
      <c r="G40" s="69">
        <v>68597</v>
      </c>
      <c r="H40" s="69">
        <v>79708</v>
      </c>
      <c r="I40" s="69">
        <v>134476</v>
      </c>
      <c r="J40" s="69">
        <v>72179</v>
      </c>
      <c r="K40" s="69">
        <v>115647</v>
      </c>
      <c r="L40" s="69">
        <v>56641</v>
      </c>
      <c r="M40" s="69">
        <v>60517</v>
      </c>
      <c r="N40" s="69">
        <v>93706</v>
      </c>
      <c r="O40" s="69">
        <v>63065</v>
      </c>
      <c r="P40" s="69">
        <v>97733</v>
      </c>
      <c r="Q40" s="69">
        <v>67725</v>
      </c>
      <c r="R40" s="69">
        <v>57841</v>
      </c>
      <c r="S40" s="69">
        <v>104014</v>
      </c>
      <c r="T40" s="69">
        <v>75054</v>
      </c>
      <c r="U40" s="69">
        <v>97967</v>
      </c>
      <c r="V40" s="69">
        <v>52919</v>
      </c>
      <c r="W40" s="69">
        <v>54461</v>
      </c>
      <c r="X40" s="69">
        <v>88475</v>
      </c>
      <c r="Y40" s="69">
        <v>58764</v>
      </c>
      <c r="Z40" s="69">
        <v>80836</v>
      </c>
      <c r="AA40" s="69">
        <v>49109</v>
      </c>
      <c r="AB40" s="69">
        <v>54653</v>
      </c>
      <c r="AC40" s="69">
        <v>91622</v>
      </c>
      <c r="AD40" s="69">
        <v>51146</v>
      </c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11"/>
      <c r="AV40" s="21"/>
      <c r="AW40" s="9"/>
      <c r="AX40"/>
    </row>
    <row r="41" spans="1:50" s="8" customFormat="1" x14ac:dyDescent="0.2">
      <c r="C41" s="12" t="s">
        <v>3</v>
      </c>
      <c r="D41" s="75">
        <v>116.02200000000001</v>
      </c>
      <c r="E41" s="70">
        <v>70.417000000000002</v>
      </c>
      <c r="F41" s="70">
        <v>112.553</v>
      </c>
      <c r="G41" s="70">
        <v>68.596999999999994</v>
      </c>
      <c r="H41" s="70">
        <v>79.707999999999998</v>
      </c>
      <c r="I41" s="70">
        <v>134.476</v>
      </c>
      <c r="J41" s="70">
        <v>72.179000000000002</v>
      </c>
      <c r="K41" s="70">
        <v>115.64700000000001</v>
      </c>
      <c r="L41" s="70">
        <v>56.640999999999998</v>
      </c>
      <c r="M41" s="70">
        <v>60.517000000000003</v>
      </c>
      <c r="N41" s="70">
        <v>93.706000000000003</v>
      </c>
      <c r="O41" s="70">
        <v>63.064999999999998</v>
      </c>
      <c r="P41" s="70">
        <v>97.733000000000004</v>
      </c>
      <c r="Q41" s="70">
        <v>67.724999999999994</v>
      </c>
      <c r="R41" s="70">
        <v>57.841000000000001</v>
      </c>
      <c r="S41" s="70">
        <v>104.014</v>
      </c>
      <c r="T41" s="70">
        <v>75.054000000000002</v>
      </c>
      <c r="U41" s="70">
        <v>97.966999999999999</v>
      </c>
      <c r="V41" s="70">
        <v>52.918999999999997</v>
      </c>
      <c r="W41" s="70">
        <v>54.460999999999999</v>
      </c>
      <c r="X41" s="70">
        <v>88.474999999999994</v>
      </c>
      <c r="Y41" s="70">
        <v>58.764000000000003</v>
      </c>
      <c r="Z41" s="70">
        <v>80.835999999999999</v>
      </c>
      <c r="AA41" s="70">
        <v>49.109000000000002</v>
      </c>
      <c r="AB41" s="70">
        <v>54.652999999999999</v>
      </c>
      <c r="AC41" s="70">
        <v>91.622</v>
      </c>
      <c r="AD41" s="70">
        <v>51.146000000000001</v>
      </c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11"/>
      <c r="AV41" s="21"/>
      <c r="AW41" s="9"/>
      <c r="AX41"/>
    </row>
    <row r="42" spans="1:50" x14ac:dyDescent="0.2">
      <c r="C42" s="13" t="s">
        <v>22</v>
      </c>
      <c r="D42" s="76">
        <v>363</v>
      </c>
      <c r="E42" s="72">
        <v>374</v>
      </c>
      <c r="F42" s="72">
        <v>368</v>
      </c>
      <c r="G42" s="72">
        <v>368</v>
      </c>
      <c r="H42" s="72">
        <v>383</v>
      </c>
      <c r="I42" s="72">
        <v>363</v>
      </c>
      <c r="J42" s="72">
        <v>374</v>
      </c>
      <c r="K42" s="72">
        <v>367</v>
      </c>
      <c r="L42" s="72">
        <v>361</v>
      </c>
      <c r="M42" s="72">
        <v>379</v>
      </c>
      <c r="N42" s="72">
        <v>370</v>
      </c>
      <c r="O42" s="72">
        <v>390</v>
      </c>
      <c r="P42" s="72">
        <v>391</v>
      </c>
      <c r="Q42" s="72">
        <v>392</v>
      </c>
      <c r="R42" s="72">
        <v>404</v>
      </c>
      <c r="S42" s="72">
        <v>419</v>
      </c>
      <c r="T42" s="72">
        <v>433</v>
      </c>
      <c r="U42" s="72">
        <v>412</v>
      </c>
      <c r="V42" s="72">
        <v>401</v>
      </c>
      <c r="W42" s="72">
        <v>416</v>
      </c>
      <c r="X42" s="72">
        <v>395</v>
      </c>
      <c r="Y42" s="72">
        <v>420</v>
      </c>
      <c r="Z42" s="72">
        <v>409</v>
      </c>
      <c r="AA42" s="72">
        <v>428</v>
      </c>
      <c r="AB42" s="72">
        <v>446</v>
      </c>
      <c r="AC42" s="72">
        <v>436</v>
      </c>
      <c r="AD42" s="72">
        <v>449</v>
      </c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16"/>
      <c r="AV42" s="21"/>
      <c r="AW42" s="9"/>
    </row>
    <row r="43" spans="1:50" ht="13.8" thickBot="1" x14ac:dyDescent="0.25">
      <c r="C43" s="14" t="s">
        <v>20</v>
      </c>
      <c r="D43" s="77">
        <v>311</v>
      </c>
      <c r="E43" s="77">
        <v>311</v>
      </c>
      <c r="F43" s="77">
        <v>311</v>
      </c>
      <c r="G43" s="77">
        <v>311</v>
      </c>
      <c r="H43" s="77">
        <v>311</v>
      </c>
      <c r="I43" s="77">
        <v>311</v>
      </c>
      <c r="J43" s="77">
        <v>311</v>
      </c>
      <c r="K43" s="77">
        <v>333</v>
      </c>
      <c r="L43" s="77">
        <v>333</v>
      </c>
      <c r="M43" s="77">
        <v>333</v>
      </c>
      <c r="N43" s="77">
        <v>333</v>
      </c>
      <c r="O43" s="77">
        <v>333</v>
      </c>
      <c r="P43" s="77">
        <v>333</v>
      </c>
      <c r="Q43" s="77">
        <v>333</v>
      </c>
      <c r="R43" s="77">
        <v>333</v>
      </c>
      <c r="S43" s="77">
        <v>335</v>
      </c>
      <c r="T43" s="77">
        <v>335</v>
      </c>
      <c r="U43" s="77">
        <v>335</v>
      </c>
      <c r="V43" s="77">
        <v>335</v>
      </c>
      <c r="W43" s="77">
        <v>335</v>
      </c>
      <c r="X43" s="77">
        <v>335</v>
      </c>
      <c r="Y43" s="77">
        <v>335</v>
      </c>
      <c r="Z43" s="77">
        <v>348</v>
      </c>
      <c r="AA43" s="77">
        <v>348</v>
      </c>
      <c r="AB43" s="77">
        <v>348</v>
      </c>
      <c r="AC43" s="77">
        <v>348</v>
      </c>
      <c r="AD43" s="77">
        <v>348</v>
      </c>
      <c r="AE43" s="77">
        <v>348</v>
      </c>
      <c r="AF43" s="77">
        <v>348</v>
      </c>
      <c r="AG43" s="77">
        <v>359</v>
      </c>
      <c r="AH43" s="77">
        <v>359</v>
      </c>
      <c r="AI43" s="77">
        <v>359</v>
      </c>
      <c r="AJ43" s="77">
        <v>359</v>
      </c>
      <c r="AK43" s="77">
        <v>359</v>
      </c>
      <c r="AL43" s="77">
        <v>359</v>
      </c>
      <c r="AM43" s="77">
        <v>361</v>
      </c>
      <c r="AN43" s="77">
        <v>361</v>
      </c>
      <c r="AO43" s="77">
        <v>361</v>
      </c>
      <c r="AP43" s="77">
        <v>361</v>
      </c>
      <c r="AQ43" s="77">
        <v>361</v>
      </c>
      <c r="AR43" s="77">
        <v>361</v>
      </c>
      <c r="AS43" s="77">
        <v>361</v>
      </c>
      <c r="AT43" s="77">
        <v>361</v>
      </c>
      <c r="AU43" s="22"/>
      <c r="AV43" s="22"/>
      <c r="AW43" s="18"/>
    </row>
    <row r="44" spans="1:50" ht="13.8" thickBot="1" x14ac:dyDescent="0.25"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</row>
    <row r="45" spans="1:50" x14ac:dyDescent="0.2">
      <c r="A45" t="s">
        <v>9</v>
      </c>
      <c r="B45" t="s">
        <v>4</v>
      </c>
      <c r="C45" s="29">
        <f>$C$1</f>
        <v>46174</v>
      </c>
      <c r="D45" s="73" t="s">
        <v>50</v>
      </c>
      <c r="E45" s="64" t="s">
        <v>45</v>
      </c>
      <c r="F45" s="64" t="s">
        <v>41</v>
      </c>
      <c r="G45" s="64" t="s">
        <v>51</v>
      </c>
      <c r="H45" s="65" t="s">
        <v>31</v>
      </c>
      <c r="I45" s="64" t="s">
        <v>46</v>
      </c>
      <c r="J45" s="64" t="s">
        <v>28</v>
      </c>
      <c r="K45" s="64" t="s">
        <v>42</v>
      </c>
      <c r="L45" s="64" t="s">
        <v>35</v>
      </c>
      <c r="M45" s="64" t="s">
        <v>32</v>
      </c>
      <c r="N45" s="64" t="s">
        <v>47</v>
      </c>
      <c r="O45" s="64" t="s">
        <v>29</v>
      </c>
      <c r="P45" s="64" t="s">
        <v>43</v>
      </c>
      <c r="Q45" s="64" t="s">
        <v>36</v>
      </c>
      <c r="R45" s="64" t="s">
        <v>33</v>
      </c>
      <c r="S45" s="64" t="s">
        <v>48</v>
      </c>
      <c r="T45" s="64" t="s">
        <v>30</v>
      </c>
      <c r="U45" s="64" t="s">
        <v>44</v>
      </c>
      <c r="V45" s="64" t="s">
        <v>27</v>
      </c>
      <c r="W45" s="64" t="s">
        <v>34</v>
      </c>
      <c r="X45" s="64" t="s">
        <v>49</v>
      </c>
      <c r="Y45" s="64" t="s">
        <v>37</v>
      </c>
      <c r="Z45" s="64" t="s">
        <v>52</v>
      </c>
      <c r="AA45" s="66" t="s">
        <v>53</v>
      </c>
      <c r="AB45" s="66" t="s">
        <v>41</v>
      </c>
      <c r="AC45" s="66" t="s">
        <v>31</v>
      </c>
      <c r="AD45" s="67" t="s">
        <v>38</v>
      </c>
      <c r="AE45" s="67" t="s">
        <v>28</v>
      </c>
      <c r="AF45" s="67" t="s">
        <v>54</v>
      </c>
      <c r="AG45" s="67" t="s">
        <v>42</v>
      </c>
      <c r="AH45" s="67" t="s">
        <v>32</v>
      </c>
      <c r="AI45" s="67" t="s">
        <v>39</v>
      </c>
      <c r="AJ45" s="67" t="s">
        <v>29</v>
      </c>
      <c r="AK45" s="67" t="s">
        <v>55</v>
      </c>
      <c r="AL45" s="67" t="s">
        <v>43</v>
      </c>
      <c r="AM45" s="67" t="s">
        <v>40</v>
      </c>
      <c r="AN45" s="68" t="s">
        <v>30</v>
      </c>
      <c r="AO45" s="64" t="s">
        <v>56</v>
      </c>
      <c r="AP45" s="64" t="s">
        <v>44</v>
      </c>
      <c r="AQ45" s="64" t="s">
        <v>34</v>
      </c>
      <c r="AR45" s="64" t="s">
        <v>26</v>
      </c>
      <c r="AS45" s="64" t="s">
        <v>37</v>
      </c>
      <c r="AT45" s="64" t="s">
        <v>57</v>
      </c>
      <c r="AU45" s="25"/>
      <c r="AV45" s="20"/>
      <c r="AW45" s="23"/>
    </row>
    <row r="46" spans="1:50" s="8" customFormat="1" x14ac:dyDescent="0.2">
      <c r="C46" s="12" t="s">
        <v>21</v>
      </c>
      <c r="D46" s="74">
        <v>38659</v>
      </c>
      <c r="E46" s="69">
        <v>41556</v>
      </c>
      <c r="F46" s="69">
        <v>48404</v>
      </c>
      <c r="G46" s="69">
        <v>35673</v>
      </c>
      <c r="H46" s="69">
        <v>44640</v>
      </c>
      <c r="I46" s="69">
        <v>57393</v>
      </c>
      <c r="J46" s="69">
        <v>45831</v>
      </c>
      <c r="K46" s="69">
        <v>57936</v>
      </c>
      <c r="L46" s="69">
        <v>37175</v>
      </c>
      <c r="M46" s="69">
        <v>40595</v>
      </c>
      <c r="N46" s="69">
        <v>47200</v>
      </c>
      <c r="O46" s="69">
        <v>43091</v>
      </c>
      <c r="P46" s="69">
        <v>57351</v>
      </c>
      <c r="Q46" s="69">
        <v>32704</v>
      </c>
      <c r="R46" s="69">
        <v>35469</v>
      </c>
      <c r="S46" s="69">
        <v>52076</v>
      </c>
      <c r="T46" s="69">
        <v>46037</v>
      </c>
      <c r="U46" s="69">
        <v>61772</v>
      </c>
      <c r="V46" s="69">
        <v>38288</v>
      </c>
      <c r="W46" s="69">
        <v>41607</v>
      </c>
      <c r="X46" s="69">
        <v>48836</v>
      </c>
      <c r="Y46" s="69">
        <v>36671</v>
      </c>
      <c r="Z46" s="69">
        <v>54439</v>
      </c>
      <c r="AA46" s="69">
        <v>34226</v>
      </c>
      <c r="AB46" s="69">
        <v>51346</v>
      </c>
      <c r="AC46" s="69">
        <v>71062</v>
      </c>
      <c r="AD46" s="69">
        <v>52807</v>
      </c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11"/>
      <c r="AV46" s="21"/>
      <c r="AW46" s="9"/>
      <c r="AX46"/>
    </row>
    <row r="47" spans="1:50" s="8" customFormat="1" x14ac:dyDescent="0.2">
      <c r="C47" s="12" t="s">
        <v>3</v>
      </c>
      <c r="D47" s="75">
        <v>38.658999999999999</v>
      </c>
      <c r="E47" s="70">
        <v>41.555999999999997</v>
      </c>
      <c r="F47" s="70">
        <v>48.404000000000003</v>
      </c>
      <c r="G47" s="70">
        <v>35.673000000000002</v>
      </c>
      <c r="H47" s="70">
        <v>44.64</v>
      </c>
      <c r="I47" s="70">
        <v>57.393000000000001</v>
      </c>
      <c r="J47" s="70">
        <v>45.831000000000003</v>
      </c>
      <c r="K47" s="70">
        <v>57.936</v>
      </c>
      <c r="L47" s="70">
        <v>37.174999999999997</v>
      </c>
      <c r="M47" s="70">
        <v>40.594999999999999</v>
      </c>
      <c r="N47" s="70">
        <v>47.2</v>
      </c>
      <c r="O47" s="70">
        <v>43.091000000000001</v>
      </c>
      <c r="P47" s="70">
        <v>57.350999999999999</v>
      </c>
      <c r="Q47" s="70">
        <v>32.704000000000001</v>
      </c>
      <c r="R47" s="70">
        <v>35.469000000000001</v>
      </c>
      <c r="S47" s="70">
        <v>52.076000000000001</v>
      </c>
      <c r="T47" s="70">
        <v>46.036999999999999</v>
      </c>
      <c r="U47" s="70">
        <v>61.771999999999998</v>
      </c>
      <c r="V47" s="70">
        <v>38.287999999999997</v>
      </c>
      <c r="W47" s="70">
        <v>41.606999999999999</v>
      </c>
      <c r="X47" s="70">
        <v>48.835999999999999</v>
      </c>
      <c r="Y47" s="70">
        <v>36.670999999999999</v>
      </c>
      <c r="Z47" s="70">
        <v>54.439</v>
      </c>
      <c r="AA47" s="70">
        <v>34.225999999999999</v>
      </c>
      <c r="AB47" s="70">
        <v>51.345999999999997</v>
      </c>
      <c r="AC47" s="70">
        <v>71.061999999999998</v>
      </c>
      <c r="AD47" s="70">
        <v>52.807000000000002</v>
      </c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11"/>
      <c r="AV47" s="21"/>
      <c r="AW47" s="9"/>
      <c r="AX47"/>
    </row>
    <row r="48" spans="1:50" x14ac:dyDescent="0.2">
      <c r="C48" s="13" t="s">
        <v>22</v>
      </c>
      <c r="D48" s="76">
        <v>342</v>
      </c>
      <c r="E48" s="72">
        <v>342</v>
      </c>
      <c r="F48" s="72">
        <v>344</v>
      </c>
      <c r="G48" s="72">
        <v>351</v>
      </c>
      <c r="H48" s="72">
        <v>348</v>
      </c>
      <c r="I48" s="72">
        <v>325</v>
      </c>
      <c r="J48" s="72">
        <v>324</v>
      </c>
      <c r="K48" s="72">
        <v>319</v>
      </c>
      <c r="L48" s="72">
        <v>320</v>
      </c>
      <c r="M48" s="72">
        <v>334</v>
      </c>
      <c r="N48" s="72">
        <v>341</v>
      </c>
      <c r="O48" s="72">
        <v>357</v>
      </c>
      <c r="P48" s="72">
        <v>345</v>
      </c>
      <c r="Q48" s="72">
        <v>340</v>
      </c>
      <c r="R48" s="72">
        <v>360</v>
      </c>
      <c r="S48" s="72">
        <v>364</v>
      </c>
      <c r="T48" s="72">
        <v>356</v>
      </c>
      <c r="U48" s="72">
        <v>360</v>
      </c>
      <c r="V48" s="72">
        <v>347</v>
      </c>
      <c r="W48" s="72">
        <v>360</v>
      </c>
      <c r="X48" s="72">
        <v>367</v>
      </c>
      <c r="Y48" s="72">
        <v>357</v>
      </c>
      <c r="Z48" s="72">
        <v>377</v>
      </c>
      <c r="AA48" s="72">
        <v>382</v>
      </c>
      <c r="AB48" s="72">
        <v>385</v>
      </c>
      <c r="AC48" s="72">
        <v>378</v>
      </c>
      <c r="AD48" s="72">
        <v>376</v>
      </c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16"/>
      <c r="AV48" s="21"/>
      <c r="AW48" s="9"/>
    </row>
    <row r="49" spans="1:50" ht="13.8" thickBot="1" x14ac:dyDescent="0.25">
      <c r="C49" s="14" t="s">
        <v>20</v>
      </c>
      <c r="D49" s="77">
        <v>260</v>
      </c>
      <c r="E49" s="77">
        <v>260</v>
      </c>
      <c r="F49" s="77">
        <v>260</v>
      </c>
      <c r="G49" s="77">
        <v>260</v>
      </c>
      <c r="H49" s="77">
        <v>260</v>
      </c>
      <c r="I49" s="77">
        <v>260</v>
      </c>
      <c r="J49" s="77">
        <v>260</v>
      </c>
      <c r="K49" s="77">
        <v>273</v>
      </c>
      <c r="L49" s="77">
        <v>273</v>
      </c>
      <c r="M49" s="77">
        <v>273</v>
      </c>
      <c r="N49" s="77">
        <v>273</v>
      </c>
      <c r="O49" s="77">
        <v>273</v>
      </c>
      <c r="P49" s="77">
        <v>273</v>
      </c>
      <c r="Q49" s="77">
        <v>273</v>
      </c>
      <c r="R49" s="77">
        <v>273</v>
      </c>
      <c r="S49" s="77">
        <v>238</v>
      </c>
      <c r="T49" s="77">
        <v>238</v>
      </c>
      <c r="U49" s="77">
        <v>238</v>
      </c>
      <c r="V49" s="77">
        <v>238</v>
      </c>
      <c r="W49" s="77">
        <v>238</v>
      </c>
      <c r="X49" s="77">
        <v>238</v>
      </c>
      <c r="Y49" s="77">
        <v>238</v>
      </c>
      <c r="Z49" s="77">
        <v>268</v>
      </c>
      <c r="AA49" s="77">
        <v>268</v>
      </c>
      <c r="AB49" s="77">
        <v>268</v>
      </c>
      <c r="AC49" s="77">
        <v>268</v>
      </c>
      <c r="AD49" s="77">
        <v>268</v>
      </c>
      <c r="AE49" s="77">
        <v>268</v>
      </c>
      <c r="AF49" s="77">
        <v>268</v>
      </c>
      <c r="AG49" s="77">
        <v>279</v>
      </c>
      <c r="AH49" s="77">
        <v>279</v>
      </c>
      <c r="AI49" s="77">
        <v>279</v>
      </c>
      <c r="AJ49" s="77">
        <v>279</v>
      </c>
      <c r="AK49" s="77">
        <v>279</v>
      </c>
      <c r="AL49" s="77">
        <v>279</v>
      </c>
      <c r="AM49" s="77">
        <v>292</v>
      </c>
      <c r="AN49" s="77">
        <v>292</v>
      </c>
      <c r="AO49" s="77">
        <v>292</v>
      </c>
      <c r="AP49" s="77">
        <v>292</v>
      </c>
      <c r="AQ49" s="77">
        <v>292</v>
      </c>
      <c r="AR49" s="77">
        <v>292</v>
      </c>
      <c r="AS49" s="77">
        <v>292</v>
      </c>
      <c r="AT49" s="77">
        <v>292</v>
      </c>
      <c r="AU49" s="22"/>
      <c r="AV49" s="22"/>
      <c r="AW49" s="18"/>
    </row>
    <row r="50" spans="1:50" x14ac:dyDescent="0.2">
      <c r="C50" s="4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3"/>
    </row>
    <row r="51" spans="1:50" s="6" customFormat="1" ht="0.75" customHeight="1" x14ac:dyDescent="0.2">
      <c r="C51" s="7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31"/>
    </row>
    <row r="52" spans="1:50" ht="13.8" thickBot="1" x14ac:dyDescent="0.25"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</row>
    <row r="53" spans="1:50" x14ac:dyDescent="0.2">
      <c r="A53" s="5" t="s">
        <v>10</v>
      </c>
      <c r="B53" t="s">
        <v>7</v>
      </c>
      <c r="C53" s="15">
        <f>$C$1</f>
        <v>46174</v>
      </c>
      <c r="D53" s="73" t="s">
        <v>50</v>
      </c>
      <c r="E53" s="64" t="s">
        <v>45</v>
      </c>
      <c r="F53" s="64" t="s">
        <v>41</v>
      </c>
      <c r="G53" s="64" t="s">
        <v>51</v>
      </c>
      <c r="H53" s="65" t="s">
        <v>31</v>
      </c>
      <c r="I53" s="64" t="s">
        <v>46</v>
      </c>
      <c r="J53" s="64" t="s">
        <v>28</v>
      </c>
      <c r="K53" s="64" t="s">
        <v>42</v>
      </c>
      <c r="L53" s="64" t="s">
        <v>35</v>
      </c>
      <c r="M53" s="64" t="s">
        <v>32</v>
      </c>
      <c r="N53" s="64" t="s">
        <v>47</v>
      </c>
      <c r="O53" s="64" t="s">
        <v>29</v>
      </c>
      <c r="P53" s="64" t="s">
        <v>43</v>
      </c>
      <c r="Q53" s="64" t="s">
        <v>36</v>
      </c>
      <c r="R53" s="64" t="s">
        <v>33</v>
      </c>
      <c r="S53" s="64" t="s">
        <v>48</v>
      </c>
      <c r="T53" s="64" t="s">
        <v>30</v>
      </c>
      <c r="U53" s="64" t="s">
        <v>44</v>
      </c>
      <c r="V53" s="64" t="s">
        <v>27</v>
      </c>
      <c r="W53" s="64" t="s">
        <v>34</v>
      </c>
      <c r="X53" s="64" t="s">
        <v>49</v>
      </c>
      <c r="Y53" s="64" t="s">
        <v>37</v>
      </c>
      <c r="Z53" s="64" t="s">
        <v>52</v>
      </c>
      <c r="AA53" s="66" t="s">
        <v>53</v>
      </c>
      <c r="AB53" s="66" t="s">
        <v>41</v>
      </c>
      <c r="AC53" s="66" t="s">
        <v>31</v>
      </c>
      <c r="AD53" s="67" t="s">
        <v>38</v>
      </c>
      <c r="AE53" s="67" t="s">
        <v>28</v>
      </c>
      <c r="AF53" s="67" t="s">
        <v>54</v>
      </c>
      <c r="AG53" s="67" t="s">
        <v>42</v>
      </c>
      <c r="AH53" s="67" t="s">
        <v>32</v>
      </c>
      <c r="AI53" s="67" t="s">
        <v>39</v>
      </c>
      <c r="AJ53" s="67" t="s">
        <v>29</v>
      </c>
      <c r="AK53" s="67" t="s">
        <v>55</v>
      </c>
      <c r="AL53" s="67" t="s">
        <v>43</v>
      </c>
      <c r="AM53" s="67" t="s">
        <v>40</v>
      </c>
      <c r="AN53" s="68" t="s">
        <v>30</v>
      </c>
      <c r="AO53" s="64" t="s">
        <v>56</v>
      </c>
      <c r="AP53" s="64" t="s">
        <v>44</v>
      </c>
      <c r="AQ53" s="64" t="s">
        <v>34</v>
      </c>
      <c r="AR53" s="64" t="s">
        <v>26</v>
      </c>
      <c r="AS53" s="64" t="s">
        <v>37</v>
      </c>
      <c r="AT53" s="64" t="s">
        <v>57</v>
      </c>
      <c r="AU53" s="25"/>
      <c r="AV53" s="20"/>
      <c r="AW53" s="23"/>
    </row>
    <row r="54" spans="1:50" x14ac:dyDescent="0.2">
      <c r="C54" s="12" t="s">
        <v>21</v>
      </c>
      <c r="D54" s="74">
        <v>187580</v>
      </c>
      <c r="E54" s="69">
        <v>117990</v>
      </c>
      <c r="F54" s="69">
        <v>190325</v>
      </c>
      <c r="G54" s="69">
        <v>136873</v>
      </c>
      <c r="H54" s="69">
        <v>115584</v>
      </c>
      <c r="I54" s="69">
        <v>182774</v>
      </c>
      <c r="J54" s="69">
        <v>110630</v>
      </c>
      <c r="K54" s="69">
        <v>191333</v>
      </c>
      <c r="L54" s="69">
        <v>118619</v>
      </c>
      <c r="M54" s="69">
        <v>126374</v>
      </c>
      <c r="N54" s="69">
        <v>167522</v>
      </c>
      <c r="O54" s="69">
        <v>127668</v>
      </c>
      <c r="P54" s="69">
        <v>200935</v>
      </c>
      <c r="Q54" s="69">
        <v>133948</v>
      </c>
      <c r="R54" s="69">
        <v>146034</v>
      </c>
      <c r="S54" s="69">
        <v>206225</v>
      </c>
      <c r="T54" s="69">
        <v>140780</v>
      </c>
      <c r="U54" s="69">
        <v>201861</v>
      </c>
      <c r="V54" s="69">
        <v>126671</v>
      </c>
      <c r="W54" s="69">
        <v>123541</v>
      </c>
      <c r="X54" s="69">
        <v>142463</v>
      </c>
      <c r="Y54" s="69">
        <v>97350</v>
      </c>
      <c r="Z54" s="69">
        <v>169205</v>
      </c>
      <c r="AA54" s="69">
        <v>94210</v>
      </c>
      <c r="AB54" s="69">
        <v>96061</v>
      </c>
      <c r="AC54" s="69">
        <v>147699</v>
      </c>
      <c r="AD54" s="69">
        <v>88966</v>
      </c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11"/>
      <c r="AV54" s="21"/>
      <c r="AW54" s="9"/>
    </row>
    <row r="55" spans="1:50" s="8" customFormat="1" x14ac:dyDescent="0.2">
      <c r="C55" s="12" t="s">
        <v>3</v>
      </c>
      <c r="D55" s="75">
        <v>187.58</v>
      </c>
      <c r="E55" s="70">
        <v>117.99</v>
      </c>
      <c r="F55" s="70">
        <v>190.32499999999999</v>
      </c>
      <c r="G55" s="70">
        <v>136.87299999999999</v>
      </c>
      <c r="H55" s="70">
        <v>115.584</v>
      </c>
      <c r="I55" s="70">
        <v>182.774</v>
      </c>
      <c r="J55" s="70">
        <v>110.63</v>
      </c>
      <c r="K55" s="70">
        <v>191.333</v>
      </c>
      <c r="L55" s="70">
        <v>118.619</v>
      </c>
      <c r="M55" s="70">
        <v>126.374</v>
      </c>
      <c r="N55" s="70">
        <v>167.52199999999999</v>
      </c>
      <c r="O55" s="70">
        <v>127.66800000000001</v>
      </c>
      <c r="P55" s="70">
        <v>200.935</v>
      </c>
      <c r="Q55" s="70">
        <v>133.94800000000001</v>
      </c>
      <c r="R55" s="70">
        <v>146.03399999999999</v>
      </c>
      <c r="S55" s="70">
        <v>206.22499999999999</v>
      </c>
      <c r="T55" s="70">
        <v>140.78</v>
      </c>
      <c r="U55" s="70">
        <v>201.86099999999999</v>
      </c>
      <c r="V55" s="70">
        <v>126.67100000000001</v>
      </c>
      <c r="W55" s="70">
        <v>123.541</v>
      </c>
      <c r="X55" s="70">
        <v>142.46299999999999</v>
      </c>
      <c r="Y55" s="70">
        <v>97.35</v>
      </c>
      <c r="Z55" s="70">
        <v>169.20500000000001</v>
      </c>
      <c r="AA55" s="70">
        <v>94.21</v>
      </c>
      <c r="AB55" s="70">
        <v>96.061000000000007</v>
      </c>
      <c r="AC55" s="70">
        <v>147.69900000000001</v>
      </c>
      <c r="AD55" s="70">
        <v>88.965999999999994</v>
      </c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11"/>
      <c r="AV55" s="21"/>
      <c r="AW55" s="9"/>
      <c r="AX55"/>
    </row>
    <row r="56" spans="1:50" x14ac:dyDescent="0.2">
      <c r="C56" s="13" t="s">
        <v>22</v>
      </c>
      <c r="D56" s="76">
        <v>389</v>
      </c>
      <c r="E56" s="72">
        <v>392</v>
      </c>
      <c r="F56" s="72">
        <v>393</v>
      </c>
      <c r="G56" s="72">
        <v>395</v>
      </c>
      <c r="H56" s="72">
        <v>409</v>
      </c>
      <c r="I56" s="72">
        <v>426</v>
      </c>
      <c r="J56" s="72">
        <v>446</v>
      </c>
      <c r="K56" s="72">
        <v>437</v>
      </c>
      <c r="L56" s="72">
        <v>435</v>
      </c>
      <c r="M56" s="72">
        <v>444</v>
      </c>
      <c r="N56" s="72">
        <v>447</v>
      </c>
      <c r="O56" s="72">
        <v>443</v>
      </c>
      <c r="P56" s="72">
        <v>430</v>
      </c>
      <c r="Q56" s="72">
        <v>422</v>
      </c>
      <c r="R56" s="72">
        <v>424</v>
      </c>
      <c r="S56" s="72">
        <v>410</v>
      </c>
      <c r="T56" s="72">
        <v>398</v>
      </c>
      <c r="U56" s="72">
        <v>414</v>
      </c>
      <c r="V56" s="72">
        <v>409</v>
      </c>
      <c r="W56" s="72">
        <v>414</v>
      </c>
      <c r="X56" s="72">
        <v>427</v>
      </c>
      <c r="Y56" s="72">
        <v>408</v>
      </c>
      <c r="Z56" s="72">
        <v>426</v>
      </c>
      <c r="AA56" s="72">
        <v>437</v>
      </c>
      <c r="AB56" s="72">
        <v>451</v>
      </c>
      <c r="AC56" s="72">
        <v>494</v>
      </c>
      <c r="AD56" s="72">
        <v>491</v>
      </c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16"/>
      <c r="AV56" s="21"/>
      <c r="AW56" s="9"/>
    </row>
    <row r="57" spans="1:50" ht="13.8" thickBot="1" x14ac:dyDescent="0.25">
      <c r="C57" s="14" t="s">
        <v>20</v>
      </c>
      <c r="D57" s="77">
        <v>401</v>
      </c>
      <c r="E57" s="77">
        <v>401</v>
      </c>
      <c r="F57" s="77">
        <v>401</v>
      </c>
      <c r="G57" s="77">
        <v>401</v>
      </c>
      <c r="H57" s="77">
        <v>401</v>
      </c>
      <c r="I57" s="77">
        <v>401</v>
      </c>
      <c r="J57" s="77">
        <v>401</v>
      </c>
      <c r="K57" s="77">
        <v>397</v>
      </c>
      <c r="L57" s="77">
        <v>397</v>
      </c>
      <c r="M57" s="77">
        <v>397</v>
      </c>
      <c r="N57" s="77">
        <v>397</v>
      </c>
      <c r="O57" s="77">
        <v>397</v>
      </c>
      <c r="P57" s="77">
        <v>397</v>
      </c>
      <c r="Q57" s="77">
        <v>397</v>
      </c>
      <c r="R57" s="77">
        <v>397</v>
      </c>
      <c r="S57" s="77">
        <v>348</v>
      </c>
      <c r="T57" s="77">
        <v>348</v>
      </c>
      <c r="U57" s="77">
        <v>348</v>
      </c>
      <c r="V57" s="77">
        <v>348</v>
      </c>
      <c r="W57" s="77">
        <v>348</v>
      </c>
      <c r="X57" s="77">
        <v>348</v>
      </c>
      <c r="Y57" s="77">
        <v>348</v>
      </c>
      <c r="Z57" s="77">
        <v>336</v>
      </c>
      <c r="AA57" s="77">
        <v>336</v>
      </c>
      <c r="AB57" s="77">
        <v>336</v>
      </c>
      <c r="AC57" s="77">
        <v>336</v>
      </c>
      <c r="AD57" s="77">
        <v>336</v>
      </c>
      <c r="AE57" s="77">
        <v>336</v>
      </c>
      <c r="AF57" s="77">
        <v>336</v>
      </c>
      <c r="AG57" s="77">
        <v>352</v>
      </c>
      <c r="AH57" s="77">
        <v>352</v>
      </c>
      <c r="AI57" s="77">
        <v>352</v>
      </c>
      <c r="AJ57" s="77">
        <v>352</v>
      </c>
      <c r="AK57" s="77">
        <v>352</v>
      </c>
      <c r="AL57" s="77">
        <v>352</v>
      </c>
      <c r="AM57" s="77">
        <v>341</v>
      </c>
      <c r="AN57" s="77">
        <v>341</v>
      </c>
      <c r="AO57" s="77">
        <v>341</v>
      </c>
      <c r="AP57" s="77">
        <v>341</v>
      </c>
      <c r="AQ57" s="77">
        <v>341</v>
      </c>
      <c r="AR57" s="77">
        <v>341</v>
      </c>
      <c r="AS57" s="77">
        <v>341</v>
      </c>
      <c r="AT57" s="77">
        <v>341</v>
      </c>
      <c r="AU57" s="22"/>
      <c r="AV57" s="22"/>
      <c r="AW57" s="18"/>
    </row>
    <row r="58" spans="1:50" ht="13.8" thickBot="1" x14ac:dyDescent="0.25"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</row>
    <row r="59" spans="1:50" x14ac:dyDescent="0.2">
      <c r="A59" t="s">
        <v>10</v>
      </c>
      <c r="B59" t="s">
        <v>6</v>
      </c>
      <c r="C59" s="29">
        <f>$C$1</f>
        <v>46174</v>
      </c>
      <c r="D59" s="73" t="s">
        <v>50</v>
      </c>
      <c r="E59" s="64" t="s">
        <v>45</v>
      </c>
      <c r="F59" s="64" t="s">
        <v>41</v>
      </c>
      <c r="G59" s="64" t="s">
        <v>51</v>
      </c>
      <c r="H59" s="65" t="s">
        <v>31</v>
      </c>
      <c r="I59" s="64" t="s">
        <v>46</v>
      </c>
      <c r="J59" s="64" t="s">
        <v>28</v>
      </c>
      <c r="K59" s="64" t="s">
        <v>42</v>
      </c>
      <c r="L59" s="64" t="s">
        <v>35</v>
      </c>
      <c r="M59" s="64" t="s">
        <v>32</v>
      </c>
      <c r="N59" s="64" t="s">
        <v>47</v>
      </c>
      <c r="O59" s="64" t="s">
        <v>29</v>
      </c>
      <c r="P59" s="64" t="s">
        <v>43</v>
      </c>
      <c r="Q59" s="64" t="s">
        <v>36</v>
      </c>
      <c r="R59" s="64" t="s">
        <v>33</v>
      </c>
      <c r="S59" s="64" t="s">
        <v>48</v>
      </c>
      <c r="T59" s="64" t="s">
        <v>30</v>
      </c>
      <c r="U59" s="64" t="s">
        <v>44</v>
      </c>
      <c r="V59" s="64" t="s">
        <v>27</v>
      </c>
      <c r="W59" s="64" t="s">
        <v>34</v>
      </c>
      <c r="X59" s="64" t="s">
        <v>49</v>
      </c>
      <c r="Y59" s="64" t="s">
        <v>37</v>
      </c>
      <c r="Z59" s="64" t="s">
        <v>52</v>
      </c>
      <c r="AA59" s="66" t="s">
        <v>53</v>
      </c>
      <c r="AB59" s="66" t="s">
        <v>41</v>
      </c>
      <c r="AC59" s="66" t="s">
        <v>31</v>
      </c>
      <c r="AD59" s="67" t="s">
        <v>38</v>
      </c>
      <c r="AE59" s="67" t="s">
        <v>28</v>
      </c>
      <c r="AF59" s="67" t="s">
        <v>54</v>
      </c>
      <c r="AG59" s="67" t="s">
        <v>42</v>
      </c>
      <c r="AH59" s="67" t="s">
        <v>32</v>
      </c>
      <c r="AI59" s="67" t="s">
        <v>39</v>
      </c>
      <c r="AJ59" s="67" t="s">
        <v>29</v>
      </c>
      <c r="AK59" s="67" t="s">
        <v>55</v>
      </c>
      <c r="AL59" s="67" t="s">
        <v>43</v>
      </c>
      <c r="AM59" s="67" t="s">
        <v>40</v>
      </c>
      <c r="AN59" s="68" t="s">
        <v>30</v>
      </c>
      <c r="AO59" s="64" t="s">
        <v>56</v>
      </c>
      <c r="AP59" s="64" t="s">
        <v>44</v>
      </c>
      <c r="AQ59" s="64" t="s">
        <v>34</v>
      </c>
      <c r="AR59" s="64" t="s">
        <v>26</v>
      </c>
      <c r="AS59" s="64" t="s">
        <v>37</v>
      </c>
      <c r="AT59" s="64" t="s">
        <v>57</v>
      </c>
      <c r="AU59" s="25"/>
      <c r="AV59" s="20"/>
      <c r="AW59" s="23"/>
    </row>
    <row r="60" spans="1:50" x14ac:dyDescent="0.2">
      <c r="C60" s="12" t="s">
        <v>21</v>
      </c>
      <c r="D60" s="74">
        <v>48725</v>
      </c>
      <c r="E60" s="69">
        <v>25543</v>
      </c>
      <c r="F60" s="69">
        <v>59008</v>
      </c>
      <c r="G60" s="69">
        <v>32648</v>
      </c>
      <c r="H60" s="69">
        <v>34409</v>
      </c>
      <c r="I60" s="69">
        <v>51723</v>
      </c>
      <c r="J60" s="69">
        <v>24448</v>
      </c>
      <c r="K60" s="69">
        <v>48944</v>
      </c>
      <c r="L60" s="69">
        <v>30428</v>
      </c>
      <c r="M60" s="69">
        <v>29706</v>
      </c>
      <c r="N60" s="69">
        <v>43049</v>
      </c>
      <c r="O60" s="69">
        <v>31485</v>
      </c>
      <c r="P60" s="69">
        <v>64590</v>
      </c>
      <c r="Q60" s="69">
        <v>36677</v>
      </c>
      <c r="R60" s="69">
        <v>41902</v>
      </c>
      <c r="S60" s="69">
        <v>66248</v>
      </c>
      <c r="T60" s="69">
        <v>34828</v>
      </c>
      <c r="U60" s="69">
        <v>51164</v>
      </c>
      <c r="V60" s="69">
        <v>25717</v>
      </c>
      <c r="W60" s="69">
        <v>33007</v>
      </c>
      <c r="X60" s="69">
        <v>41999</v>
      </c>
      <c r="Y60" s="69">
        <v>26791</v>
      </c>
      <c r="Z60" s="69">
        <v>51727</v>
      </c>
      <c r="AA60" s="69">
        <v>26344</v>
      </c>
      <c r="AB60" s="69">
        <v>30265</v>
      </c>
      <c r="AC60" s="69">
        <v>43283</v>
      </c>
      <c r="AD60" s="69">
        <v>24472</v>
      </c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11"/>
      <c r="AV60" s="21"/>
      <c r="AW60" s="9"/>
    </row>
    <row r="61" spans="1:50" s="8" customFormat="1" x14ac:dyDescent="0.2">
      <c r="C61" s="12" t="s">
        <v>3</v>
      </c>
      <c r="D61" s="75">
        <v>48.725000000000001</v>
      </c>
      <c r="E61" s="70">
        <v>25.542999999999999</v>
      </c>
      <c r="F61" s="70">
        <v>59.008000000000003</v>
      </c>
      <c r="G61" s="70">
        <v>32.648000000000003</v>
      </c>
      <c r="H61" s="70">
        <v>34.408999999999999</v>
      </c>
      <c r="I61" s="70">
        <v>51.722999999999999</v>
      </c>
      <c r="J61" s="70">
        <v>24.448</v>
      </c>
      <c r="K61" s="70">
        <v>48.944000000000003</v>
      </c>
      <c r="L61" s="70">
        <v>30.428000000000001</v>
      </c>
      <c r="M61" s="70">
        <v>29.706</v>
      </c>
      <c r="N61" s="70">
        <v>43.048999999999999</v>
      </c>
      <c r="O61" s="70">
        <v>31.484999999999999</v>
      </c>
      <c r="P61" s="70">
        <v>64.59</v>
      </c>
      <c r="Q61" s="70">
        <v>36.677</v>
      </c>
      <c r="R61" s="70">
        <v>41.902000000000001</v>
      </c>
      <c r="S61" s="70">
        <v>66.248000000000005</v>
      </c>
      <c r="T61" s="70">
        <v>34.828000000000003</v>
      </c>
      <c r="U61" s="70">
        <v>51.164000000000001</v>
      </c>
      <c r="V61" s="70">
        <v>25.716999999999999</v>
      </c>
      <c r="W61" s="70">
        <v>33.006999999999998</v>
      </c>
      <c r="X61" s="70">
        <v>41.999000000000002</v>
      </c>
      <c r="Y61" s="70">
        <v>26.791</v>
      </c>
      <c r="Z61" s="70">
        <v>51.726999999999997</v>
      </c>
      <c r="AA61" s="70">
        <v>26.344000000000001</v>
      </c>
      <c r="AB61" s="70">
        <v>30.265000000000001</v>
      </c>
      <c r="AC61" s="70">
        <v>43.283000000000001</v>
      </c>
      <c r="AD61" s="70">
        <v>24.472000000000001</v>
      </c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11"/>
      <c r="AV61" s="21"/>
      <c r="AW61" s="9"/>
      <c r="AX61"/>
    </row>
    <row r="62" spans="1:50" x14ac:dyDescent="0.2">
      <c r="C62" s="13" t="s">
        <v>22</v>
      </c>
      <c r="D62" s="76">
        <v>369</v>
      </c>
      <c r="E62" s="72">
        <v>362</v>
      </c>
      <c r="F62" s="72">
        <v>367</v>
      </c>
      <c r="G62" s="72">
        <v>369</v>
      </c>
      <c r="H62" s="72">
        <v>370</v>
      </c>
      <c r="I62" s="72">
        <v>372</v>
      </c>
      <c r="J62" s="72">
        <v>375</v>
      </c>
      <c r="K62" s="72">
        <v>377</v>
      </c>
      <c r="L62" s="72">
        <v>381</v>
      </c>
      <c r="M62" s="72">
        <v>379</v>
      </c>
      <c r="N62" s="72">
        <v>381</v>
      </c>
      <c r="O62" s="72">
        <v>392</v>
      </c>
      <c r="P62" s="72">
        <v>383</v>
      </c>
      <c r="Q62" s="72">
        <v>384</v>
      </c>
      <c r="R62" s="72">
        <v>373</v>
      </c>
      <c r="S62" s="72">
        <v>367</v>
      </c>
      <c r="T62" s="72">
        <v>364</v>
      </c>
      <c r="U62" s="72">
        <v>361</v>
      </c>
      <c r="V62" s="72">
        <v>365</v>
      </c>
      <c r="W62" s="72">
        <v>361</v>
      </c>
      <c r="X62" s="72">
        <v>369</v>
      </c>
      <c r="Y62" s="72">
        <v>360</v>
      </c>
      <c r="Z62" s="72">
        <v>354</v>
      </c>
      <c r="AA62" s="72">
        <v>360</v>
      </c>
      <c r="AB62" s="72">
        <v>372</v>
      </c>
      <c r="AC62" s="72">
        <v>382</v>
      </c>
      <c r="AD62" s="72">
        <v>396</v>
      </c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16"/>
      <c r="AV62" s="21"/>
      <c r="AW62" s="9"/>
    </row>
    <row r="63" spans="1:50" ht="13.8" thickBot="1" x14ac:dyDescent="0.25">
      <c r="C63" s="14" t="s">
        <v>20</v>
      </c>
      <c r="D63" s="77">
        <v>360</v>
      </c>
      <c r="E63" s="77">
        <v>360</v>
      </c>
      <c r="F63" s="77">
        <v>360</v>
      </c>
      <c r="G63" s="77">
        <v>360</v>
      </c>
      <c r="H63" s="77">
        <v>360</v>
      </c>
      <c r="I63" s="77">
        <v>360</v>
      </c>
      <c r="J63" s="77">
        <v>360</v>
      </c>
      <c r="K63" s="77">
        <v>369</v>
      </c>
      <c r="L63" s="77">
        <v>369</v>
      </c>
      <c r="M63" s="77">
        <v>369</v>
      </c>
      <c r="N63" s="77">
        <v>369</v>
      </c>
      <c r="O63" s="77">
        <v>369</v>
      </c>
      <c r="P63" s="77">
        <v>369</v>
      </c>
      <c r="Q63" s="77">
        <v>369</v>
      </c>
      <c r="R63" s="77">
        <v>369</v>
      </c>
      <c r="S63" s="77">
        <v>347</v>
      </c>
      <c r="T63" s="77">
        <v>347</v>
      </c>
      <c r="U63" s="77">
        <v>347</v>
      </c>
      <c r="V63" s="77">
        <v>347</v>
      </c>
      <c r="W63" s="77">
        <v>347</v>
      </c>
      <c r="X63" s="77">
        <v>347</v>
      </c>
      <c r="Y63" s="77">
        <v>347</v>
      </c>
      <c r="Z63" s="77">
        <v>312</v>
      </c>
      <c r="AA63" s="77">
        <v>312</v>
      </c>
      <c r="AB63" s="77">
        <v>312</v>
      </c>
      <c r="AC63" s="77">
        <v>312</v>
      </c>
      <c r="AD63" s="77">
        <v>312</v>
      </c>
      <c r="AE63" s="77">
        <v>312</v>
      </c>
      <c r="AF63" s="77">
        <v>312</v>
      </c>
      <c r="AG63" s="77">
        <v>311</v>
      </c>
      <c r="AH63" s="77">
        <v>311</v>
      </c>
      <c r="AI63" s="77">
        <v>311</v>
      </c>
      <c r="AJ63" s="77">
        <v>311</v>
      </c>
      <c r="AK63" s="77">
        <v>311</v>
      </c>
      <c r="AL63" s="77">
        <v>311</v>
      </c>
      <c r="AM63" s="77">
        <v>328</v>
      </c>
      <c r="AN63" s="77">
        <v>328</v>
      </c>
      <c r="AO63" s="77">
        <v>328</v>
      </c>
      <c r="AP63" s="77">
        <v>328</v>
      </c>
      <c r="AQ63" s="77">
        <v>328</v>
      </c>
      <c r="AR63" s="77">
        <v>328</v>
      </c>
      <c r="AS63" s="77">
        <v>328</v>
      </c>
      <c r="AT63" s="77">
        <v>328</v>
      </c>
      <c r="AU63" s="30"/>
      <c r="AV63" s="22"/>
      <c r="AW63" s="18"/>
    </row>
    <row r="64" spans="1:50" ht="13.8" thickBot="1" x14ac:dyDescent="0.25"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</row>
    <row r="65" spans="1:50" x14ac:dyDescent="0.2">
      <c r="A65" t="s">
        <v>10</v>
      </c>
      <c r="B65" t="s">
        <v>5</v>
      </c>
      <c r="C65" s="29">
        <f>$C$1</f>
        <v>46174</v>
      </c>
      <c r="D65" s="73" t="s">
        <v>50</v>
      </c>
      <c r="E65" s="64" t="s">
        <v>45</v>
      </c>
      <c r="F65" s="64" t="s">
        <v>41</v>
      </c>
      <c r="G65" s="64" t="s">
        <v>51</v>
      </c>
      <c r="H65" s="65" t="s">
        <v>31</v>
      </c>
      <c r="I65" s="64" t="s">
        <v>46</v>
      </c>
      <c r="J65" s="64" t="s">
        <v>28</v>
      </c>
      <c r="K65" s="64" t="s">
        <v>42</v>
      </c>
      <c r="L65" s="64" t="s">
        <v>35</v>
      </c>
      <c r="M65" s="64" t="s">
        <v>32</v>
      </c>
      <c r="N65" s="64" t="s">
        <v>47</v>
      </c>
      <c r="O65" s="64" t="s">
        <v>29</v>
      </c>
      <c r="P65" s="64" t="s">
        <v>43</v>
      </c>
      <c r="Q65" s="64" t="s">
        <v>36</v>
      </c>
      <c r="R65" s="64" t="s">
        <v>33</v>
      </c>
      <c r="S65" s="64" t="s">
        <v>48</v>
      </c>
      <c r="T65" s="64" t="s">
        <v>30</v>
      </c>
      <c r="U65" s="64" t="s">
        <v>44</v>
      </c>
      <c r="V65" s="64" t="s">
        <v>27</v>
      </c>
      <c r="W65" s="64" t="s">
        <v>34</v>
      </c>
      <c r="X65" s="64" t="s">
        <v>49</v>
      </c>
      <c r="Y65" s="64" t="s">
        <v>37</v>
      </c>
      <c r="Z65" s="64" t="s">
        <v>52</v>
      </c>
      <c r="AA65" s="66" t="s">
        <v>53</v>
      </c>
      <c r="AB65" s="66" t="s">
        <v>41</v>
      </c>
      <c r="AC65" s="66" t="s">
        <v>31</v>
      </c>
      <c r="AD65" s="67" t="s">
        <v>38</v>
      </c>
      <c r="AE65" s="67" t="s">
        <v>28</v>
      </c>
      <c r="AF65" s="67" t="s">
        <v>54</v>
      </c>
      <c r="AG65" s="67" t="s">
        <v>42</v>
      </c>
      <c r="AH65" s="67" t="s">
        <v>32</v>
      </c>
      <c r="AI65" s="67" t="s">
        <v>39</v>
      </c>
      <c r="AJ65" s="67" t="s">
        <v>29</v>
      </c>
      <c r="AK65" s="67" t="s">
        <v>55</v>
      </c>
      <c r="AL65" s="67" t="s">
        <v>43</v>
      </c>
      <c r="AM65" s="67" t="s">
        <v>40</v>
      </c>
      <c r="AN65" s="68" t="s">
        <v>30</v>
      </c>
      <c r="AO65" s="64" t="s">
        <v>56</v>
      </c>
      <c r="AP65" s="64" t="s">
        <v>44</v>
      </c>
      <c r="AQ65" s="64" t="s">
        <v>34</v>
      </c>
      <c r="AR65" s="64" t="s">
        <v>26</v>
      </c>
      <c r="AS65" s="64" t="s">
        <v>37</v>
      </c>
      <c r="AT65" s="64" t="s">
        <v>57</v>
      </c>
      <c r="AU65" s="25"/>
      <c r="AV65" s="20"/>
      <c r="AW65" s="23"/>
    </row>
    <row r="66" spans="1:50" x14ac:dyDescent="0.2">
      <c r="C66" s="12" t="s">
        <v>21</v>
      </c>
      <c r="D66" s="74">
        <v>65852</v>
      </c>
      <c r="E66" s="69">
        <v>51670</v>
      </c>
      <c r="F66" s="69">
        <v>72381</v>
      </c>
      <c r="G66" s="69">
        <v>33043</v>
      </c>
      <c r="H66" s="69">
        <v>47832</v>
      </c>
      <c r="I66" s="69">
        <v>56841</v>
      </c>
      <c r="J66" s="69">
        <v>49890</v>
      </c>
      <c r="K66" s="69">
        <v>63956</v>
      </c>
      <c r="L66" s="69">
        <v>40930</v>
      </c>
      <c r="M66" s="69">
        <v>45009</v>
      </c>
      <c r="N66" s="69">
        <v>62352</v>
      </c>
      <c r="O66" s="69">
        <v>60161</v>
      </c>
      <c r="P66" s="69">
        <v>80445</v>
      </c>
      <c r="Q66" s="69">
        <v>45827</v>
      </c>
      <c r="R66" s="69">
        <v>52476</v>
      </c>
      <c r="S66" s="69">
        <v>72529</v>
      </c>
      <c r="T66" s="69">
        <v>58855</v>
      </c>
      <c r="U66" s="69">
        <v>80921</v>
      </c>
      <c r="V66" s="69">
        <v>40784</v>
      </c>
      <c r="W66" s="69">
        <v>46902</v>
      </c>
      <c r="X66" s="69">
        <v>42963</v>
      </c>
      <c r="Y66" s="69">
        <v>43911</v>
      </c>
      <c r="Z66" s="69">
        <v>64665</v>
      </c>
      <c r="AA66" s="69">
        <v>25136</v>
      </c>
      <c r="AB66" s="69">
        <v>38473</v>
      </c>
      <c r="AC66" s="69">
        <v>39901</v>
      </c>
      <c r="AD66" s="69">
        <v>34106</v>
      </c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11"/>
      <c r="AV66" s="21"/>
      <c r="AW66" s="9"/>
    </row>
    <row r="67" spans="1:50" s="8" customFormat="1" x14ac:dyDescent="0.2">
      <c r="C67" s="12" t="s">
        <v>3</v>
      </c>
      <c r="D67" s="75">
        <v>65.852000000000004</v>
      </c>
      <c r="E67" s="70">
        <v>51.67</v>
      </c>
      <c r="F67" s="70">
        <v>72.381</v>
      </c>
      <c r="G67" s="70">
        <v>33.042999999999999</v>
      </c>
      <c r="H67" s="70">
        <v>47.832000000000001</v>
      </c>
      <c r="I67" s="70">
        <v>56.841000000000001</v>
      </c>
      <c r="J67" s="70">
        <v>49.89</v>
      </c>
      <c r="K67" s="70">
        <v>63.956000000000003</v>
      </c>
      <c r="L67" s="70">
        <v>40.93</v>
      </c>
      <c r="M67" s="70">
        <v>45.009</v>
      </c>
      <c r="N67" s="70">
        <v>62.351999999999997</v>
      </c>
      <c r="O67" s="70">
        <v>60.161000000000001</v>
      </c>
      <c r="P67" s="70">
        <v>80.444999999999993</v>
      </c>
      <c r="Q67" s="70">
        <v>45.826999999999998</v>
      </c>
      <c r="R67" s="70">
        <v>52.475999999999999</v>
      </c>
      <c r="S67" s="70">
        <v>72.528999999999996</v>
      </c>
      <c r="T67" s="70">
        <v>58.854999999999997</v>
      </c>
      <c r="U67" s="70">
        <v>80.921000000000006</v>
      </c>
      <c r="V67" s="70">
        <v>40.783999999999999</v>
      </c>
      <c r="W67" s="70">
        <v>46.902000000000001</v>
      </c>
      <c r="X67" s="70">
        <v>42.963000000000001</v>
      </c>
      <c r="Y67" s="70">
        <v>43.911000000000001</v>
      </c>
      <c r="Z67" s="70">
        <v>64.665000000000006</v>
      </c>
      <c r="AA67" s="70">
        <v>25.135999999999999</v>
      </c>
      <c r="AB67" s="70">
        <v>38.472999999999999</v>
      </c>
      <c r="AC67" s="70">
        <v>39.901000000000003</v>
      </c>
      <c r="AD67" s="70">
        <v>34.106000000000002</v>
      </c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11"/>
      <c r="AV67" s="21"/>
      <c r="AW67" s="9"/>
      <c r="AX67"/>
    </row>
    <row r="68" spans="1:50" x14ac:dyDescent="0.2">
      <c r="C68" s="13" t="s">
        <v>22</v>
      </c>
      <c r="D68" s="76">
        <v>369</v>
      </c>
      <c r="E68" s="72">
        <v>319</v>
      </c>
      <c r="F68" s="72">
        <v>354</v>
      </c>
      <c r="G68" s="72">
        <v>377</v>
      </c>
      <c r="H68" s="72">
        <v>346</v>
      </c>
      <c r="I68" s="72">
        <v>386</v>
      </c>
      <c r="J68" s="72">
        <v>387</v>
      </c>
      <c r="K68" s="72">
        <v>370</v>
      </c>
      <c r="L68" s="72">
        <v>347</v>
      </c>
      <c r="M68" s="72">
        <v>365</v>
      </c>
      <c r="N68" s="72">
        <v>411</v>
      </c>
      <c r="O68" s="72">
        <v>400</v>
      </c>
      <c r="P68" s="72">
        <v>374</v>
      </c>
      <c r="Q68" s="72">
        <v>365</v>
      </c>
      <c r="R68" s="72">
        <v>379</v>
      </c>
      <c r="S68" s="72">
        <v>355</v>
      </c>
      <c r="T68" s="72">
        <v>376</v>
      </c>
      <c r="U68" s="72">
        <v>365</v>
      </c>
      <c r="V68" s="72">
        <v>370</v>
      </c>
      <c r="W68" s="72">
        <v>355</v>
      </c>
      <c r="X68" s="72">
        <v>378</v>
      </c>
      <c r="Y68" s="72">
        <v>372</v>
      </c>
      <c r="Z68" s="72">
        <v>359</v>
      </c>
      <c r="AA68" s="72">
        <v>341</v>
      </c>
      <c r="AB68" s="72">
        <v>346</v>
      </c>
      <c r="AC68" s="72">
        <v>383</v>
      </c>
      <c r="AD68" s="72">
        <v>403</v>
      </c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16"/>
      <c r="AV68" s="21"/>
      <c r="AW68" s="9"/>
    </row>
    <row r="69" spans="1:50" ht="13.8" thickBot="1" x14ac:dyDescent="0.25">
      <c r="C69" s="14" t="s">
        <v>20</v>
      </c>
      <c r="D69" s="77">
        <v>366</v>
      </c>
      <c r="E69" s="77">
        <v>366</v>
      </c>
      <c r="F69" s="77">
        <v>366</v>
      </c>
      <c r="G69" s="77">
        <v>366</v>
      </c>
      <c r="H69" s="77">
        <v>366</v>
      </c>
      <c r="I69" s="77">
        <v>366</v>
      </c>
      <c r="J69" s="77">
        <v>366</v>
      </c>
      <c r="K69" s="77">
        <v>359</v>
      </c>
      <c r="L69" s="77">
        <v>359</v>
      </c>
      <c r="M69" s="77">
        <v>359</v>
      </c>
      <c r="N69" s="77">
        <v>359</v>
      </c>
      <c r="O69" s="77">
        <v>359</v>
      </c>
      <c r="P69" s="77">
        <v>359</v>
      </c>
      <c r="Q69" s="77">
        <v>359</v>
      </c>
      <c r="R69" s="77">
        <v>359</v>
      </c>
      <c r="S69" s="77">
        <v>327</v>
      </c>
      <c r="T69" s="77">
        <v>327</v>
      </c>
      <c r="U69" s="77">
        <v>327</v>
      </c>
      <c r="V69" s="77">
        <v>327</v>
      </c>
      <c r="W69" s="77">
        <v>327</v>
      </c>
      <c r="X69" s="77">
        <v>327</v>
      </c>
      <c r="Y69" s="77">
        <v>327</v>
      </c>
      <c r="Z69" s="77">
        <v>297</v>
      </c>
      <c r="AA69" s="77">
        <v>297</v>
      </c>
      <c r="AB69" s="77">
        <v>297</v>
      </c>
      <c r="AC69" s="77">
        <v>297</v>
      </c>
      <c r="AD69" s="77">
        <v>297</v>
      </c>
      <c r="AE69" s="77">
        <v>297</v>
      </c>
      <c r="AF69" s="77">
        <v>297</v>
      </c>
      <c r="AG69" s="77">
        <v>319</v>
      </c>
      <c r="AH69" s="77">
        <v>319</v>
      </c>
      <c r="AI69" s="77">
        <v>319</v>
      </c>
      <c r="AJ69" s="77">
        <v>319</v>
      </c>
      <c r="AK69" s="77">
        <v>319</v>
      </c>
      <c r="AL69" s="77">
        <v>319</v>
      </c>
      <c r="AM69" s="77">
        <v>332</v>
      </c>
      <c r="AN69" s="77">
        <v>332</v>
      </c>
      <c r="AO69" s="77">
        <v>332</v>
      </c>
      <c r="AP69" s="77">
        <v>332</v>
      </c>
      <c r="AQ69" s="77">
        <v>332</v>
      </c>
      <c r="AR69" s="77">
        <v>332</v>
      </c>
      <c r="AS69" s="77">
        <v>332</v>
      </c>
      <c r="AT69" s="77">
        <v>332</v>
      </c>
      <c r="AU69" s="22"/>
      <c r="AV69" s="22"/>
      <c r="AW69" s="18"/>
    </row>
    <row r="70" spans="1:50" ht="13.8" thickBot="1" x14ac:dyDescent="0.25"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</row>
    <row r="71" spans="1:50" x14ac:dyDescent="0.2">
      <c r="A71" t="s">
        <v>10</v>
      </c>
      <c r="B71" t="s">
        <v>4</v>
      </c>
      <c r="C71" s="29">
        <f>$C$1</f>
        <v>46174</v>
      </c>
      <c r="D71" s="73" t="s">
        <v>50</v>
      </c>
      <c r="E71" s="64" t="s">
        <v>45</v>
      </c>
      <c r="F71" s="64" t="s">
        <v>41</v>
      </c>
      <c r="G71" s="64" t="s">
        <v>51</v>
      </c>
      <c r="H71" s="65" t="s">
        <v>31</v>
      </c>
      <c r="I71" s="64" t="s">
        <v>46</v>
      </c>
      <c r="J71" s="64" t="s">
        <v>28</v>
      </c>
      <c r="K71" s="64" t="s">
        <v>42</v>
      </c>
      <c r="L71" s="64" t="s">
        <v>35</v>
      </c>
      <c r="M71" s="64" t="s">
        <v>32</v>
      </c>
      <c r="N71" s="64" t="s">
        <v>47</v>
      </c>
      <c r="O71" s="64" t="s">
        <v>29</v>
      </c>
      <c r="P71" s="64" t="s">
        <v>43</v>
      </c>
      <c r="Q71" s="64" t="s">
        <v>36</v>
      </c>
      <c r="R71" s="64" t="s">
        <v>33</v>
      </c>
      <c r="S71" s="64" t="s">
        <v>48</v>
      </c>
      <c r="T71" s="64" t="s">
        <v>30</v>
      </c>
      <c r="U71" s="64" t="s">
        <v>44</v>
      </c>
      <c r="V71" s="64" t="s">
        <v>27</v>
      </c>
      <c r="W71" s="64" t="s">
        <v>34</v>
      </c>
      <c r="X71" s="64" t="s">
        <v>49</v>
      </c>
      <c r="Y71" s="64" t="s">
        <v>37</v>
      </c>
      <c r="Z71" s="64" t="s">
        <v>52</v>
      </c>
      <c r="AA71" s="66" t="s">
        <v>53</v>
      </c>
      <c r="AB71" s="66" t="s">
        <v>41</v>
      </c>
      <c r="AC71" s="66" t="s">
        <v>31</v>
      </c>
      <c r="AD71" s="67" t="s">
        <v>38</v>
      </c>
      <c r="AE71" s="67" t="s">
        <v>28</v>
      </c>
      <c r="AF71" s="67" t="s">
        <v>54</v>
      </c>
      <c r="AG71" s="67" t="s">
        <v>42</v>
      </c>
      <c r="AH71" s="67" t="s">
        <v>32</v>
      </c>
      <c r="AI71" s="67" t="s">
        <v>39</v>
      </c>
      <c r="AJ71" s="67" t="s">
        <v>29</v>
      </c>
      <c r="AK71" s="67" t="s">
        <v>55</v>
      </c>
      <c r="AL71" s="67" t="s">
        <v>43</v>
      </c>
      <c r="AM71" s="67" t="s">
        <v>40</v>
      </c>
      <c r="AN71" s="68" t="s">
        <v>30</v>
      </c>
      <c r="AO71" s="64" t="s">
        <v>56</v>
      </c>
      <c r="AP71" s="64" t="s">
        <v>44</v>
      </c>
      <c r="AQ71" s="64" t="s">
        <v>34</v>
      </c>
      <c r="AR71" s="64" t="s">
        <v>26</v>
      </c>
      <c r="AS71" s="64" t="s">
        <v>37</v>
      </c>
      <c r="AT71" s="64" t="s">
        <v>57</v>
      </c>
      <c r="AU71" s="25"/>
      <c r="AV71" s="20"/>
      <c r="AW71" s="23"/>
    </row>
    <row r="72" spans="1:50" x14ac:dyDescent="0.2">
      <c r="C72" s="12" t="s">
        <v>21</v>
      </c>
      <c r="D72" s="74">
        <v>24914</v>
      </c>
      <c r="E72" s="69">
        <v>29205</v>
      </c>
      <c r="F72" s="69">
        <v>37068</v>
      </c>
      <c r="G72" s="69">
        <v>18451</v>
      </c>
      <c r="H72" s="69">
        <v>27095</v>
      </c>
      <c r="I72" s="69">
        <v>25073</v>
      </c>
      <c r="J72" s="69">
        <v>28499</v>
      </c>
      <c r="K72" s="69">
        <v>35193</v>
      </c>
      <c r="L72" s="69">
        <v>21905</v>
      </c>
      <c r="M72" s="69">
        <v>23108</v>
      </c>
      <c r="N72" s="69">
        <v>33557</v>
      </c>
      <c r="O72" s="69">
        <v>37208</v>
      </c>
      <c r="P72" s="69">
        <v>49010</v>
      </c>
      <c r="Q72" s="69">
        <v>39107</v>
      </c>
      <c r="R72" s="69">
        <v>38144</v>
      </c>
      <c r="S72" s="69">
        <v>47607</v>
      </c>
      <c r="T72" s="69">
        <v>39451</v>
      </c>
      <c r="U72" s="69">
        <v>33936</v>
      </c>
      <c r="V72" s="69">
        <v>16474</v>
      </c>
      <c r="W72" s="69">
        <v>19765</v>
      </c>
      <c r="X72" s="69">
        <v>23842</v>
      </c>
      <c r="Y72" s="69">
        <v>22049</v>
      </c>
      <c r="Z72" s="69">
        <v>31319</v>
      </c>
      <c r="AA72" s="69">
        <v>25501</v>
      </c>
      <c r="AB72" s="69">
        <v>27214</v>
      </c>
      <c r="AC72" s="69">
        <v>32760</v>
      </c>
      <c r="AD72" s="69">
        <v>23523</v>
      </c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11"/>
      <c r="AV72" s="21"/>
      <c r="AW72" s="9"/>
    </row>
    <row r="73" spans="1:50" s="8" customFormat="1" x14ac:dyDescent="0.2">
      <c r="C73" s="12" t="s">
        <v>3</v>
      </c>
      <c r="D73" s="75">
        <v>24.914000000000001</v>
      </c>
      <c r="E73" s="70">
        <v>29.204999999999998</v>
      </c>
      <c r="F73" s="70">
        <v>37.067999999999998</v>
      </c>
      <c r="G73" s="70">
        <v>18.451000000000001</v>
      </c>
      <c r="H73" s="70">
        <v>27.094999999999999</v>
      </c>
      <c r="I73" s="70">
        <v>25.073</v>
      </c>
      <c r="J73" s="70">
        <v>28.498999999999999</v>
      </c>
      <c r="K73" s="70">
        <v>35.192999999999998</v>
      </c>
      <c r="L73" s="70">
        <v>21.905000000000001</v>
      </c>
      <c r="M73" s="70">
        <v>23.108000000000001</v>
      </c>
      <c r="N73" s="70">
        <v>33.557000000000002</v>
      </c>
      <c r="O73" s="70">
        <v>37.207999999999998</v>
      </c>
      <c r="P73" s="70">
        <v>49.01</v>
      </c>
      <c r="Q73" s="70">
        <v>39.106999999999999</v>
      </c>
      <c r="R73" s="70">
        <v>38.143999999999998</v>
      </c>
      <c r="S73" s="70">
        <v>47.606999999999999</v>
      </c>
      <c r="T73" s="70">
        <v>39.451000000000001</v>
      </c>
      <c r="U73" s="70">
        <v>33.936</v>
      </c>
      <c r="V73" s="70">
        <v>16.474</v>
      </c>
      <c r="W73" s="70">
        <v>19.765000000000001</v>
      </c>
      <c r="X73" s="70">
        <v>23.841999999999999</v>
      </c>
      <c r="Y73" s="70">
        <v>22.048999999999999</v>
      </c>
      <c r="Z73" s="70">
        <v>31.318999999999999</v>
      </c>
      <c r="AA73" s="70">
        <v>25.501000000000001</v>
      </c>
      <c r="AB73" s="70">
        <v>27.213999999999999</v>
      </c>
      <c r="AC73" s="70">
        <v>32.76</v>
      </c>
      <c r="AD73" s="70">
        <v>23.523</v>
      </c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11"/>
      <c r="AV73" s="21"/>
      <c r="AW73" s="9"/>
      <c r="AX73"/>
    </row>
    <row r="74" spans="1:50" x14ac:dyDescent="0.2">
      <c r="C74" s="13" t="s">
        <v>22</v>
      </c>
      <c r="D74" s="76">
        <v>375</v>
      </c>
      <c r="E74" s="72">
        <v>380</v>
      </c>
      <c r="F74" s="72">
        <v>373</v>
      </c>
      <c r="G74" s="72">
        <v>363</v>
      </c>
      <c r="H74" s="72">
        <v>372</v>
      </c>
      <c r="I74" s="72">
        <v>372</v>
      </c>
      <c r="J74" s="72">
        <v>382</v>
      </c>
      <c r="K74" s="72">
        <v>342</v>
      </c>
      <c r="L74" s="72">
        <v>353</v>
      </c>
      <c r="M74" s="72">
        <v>370</v>
      </c>
      <c r="N74" s="72">
        <v>382</v>
      </c>
      <c r="O74" s="72">
        <v>386</v>
      </c>
      <c r="P74" s="72">
        <v>340</v>
      </c>
      <c r="Q74" s="72">
        <v>356</v>
      </c>
      <c r="R74" s="72">
        <v>315</v>
      </c>
      <c r="S74" s="72">
        <v>308</v>
      </c>
      <c r="T74" s="72">
        <v>301</v>
      </c>
      <c r="U74" s="72">
        <v>294</v>
      </c>
      <c r="V74" s="72">
        <v>337</v>
      </c>
      <c r="W74" s="72">
        <v>301</v>
      </c>
      <c r="X74" s="72">
        <v>276</v>
      </c>
      <c r="Y74" s="72">
        <v>325</v>
      </c>
      <c r="Z74" s="72">
        <v>338</v>
      </c>
      <c r="AA74" s="72">
        <v>366</v>
      </c>
      <c r="AB74" s="72">
        <v>327</v>
      </c>
      <c r="AC74" s="72">
        <v>361</v>
      </c>
      <c r="AD74" s="72">
        <v>322</v>
      </c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16"/>
      <c r="AV74" s="21"/>
      <c r="AW74" s="9"/>
    </row>
    <row r="75" spans="1:50" ht="13.8" thickBot="1" x14ac:dyDescent="0.25">
      <c r="C75" s="14" t="s">
        <v>20</v>
      </c>
      <c r="D75" s="77">
        <v>349</v>
      </c>
      <c r="E75" s="77">
        <v>349</v>
      </c>
      <c r="F75" s="77">
        <v>349</v>
      </c>
      <c r="G75" s="77">
        <v>349</v>
      </c>
      <c r="H75" s="77">
        <v>349</v>
      </c>
      <c r="I75" s="77">
        <v>349</v>
      </c>
      <c r="J75" s="77">
        <v>349</v>
      </c>
      <c r="K75" s="77">
        <v>330</v>
      </c>
      <c r="L75" s="77">
        <v>330</v>
      </c>
      <c r="M75" s="77">
        <v>330</v>
      </c>
      <c r="N75" s="77">
        <v>330</v>
      </c>
      <c r="O75" s="77">
        <v>330</v>
      </c>
      <c r="P75" s="77">
        <v>330</v>
      </c>
      <c r="Q75" s="77">
        <v>330</v>
      </c>
      <c r="R75" s="77">
        <v>330</v>
      </c>
      <c r="S75" s="77">
        <v>272</v>
      </c>
      <c r="T75" s="77">
        <v>272</v>
      </c>
      <c r="U75" s="77">
        <v>272</v>
      </c>
      <c r="V75" s="77">
        <v>272</v>
      </c>
      <c r="W75" s="77">
        <v>272</v>
      </c>
      <c r="X75" s="77">
        <v>272</v>
      </c>
      <c r="Y75" s="77">
        <v>272</v>
      </c>
      <c r="Z75" s="77">
        <v>253</v>
      </c>
      <c r="AA75" s="77">
        <v>253</v>
      </c>
      <c r="AB75" s="77">
        <v>253</v>
      </c>
      <c r="AC75" s="77">
        <v>253</v>
      </c>
      <c r="AD75" s="77">
        <v>253</v>
      </c>
      <c r="AE75" s="77">
        <v>253</v>
      </c>
      <c r="AF75" s="77">
        <v>253</v>
      </c>
      <c r="AG75" s="77">
        <v>315</v>
      </c>
      <c r="AH75" s="77">
        <v>315</v>
      </c>
      <c r="AI75" s="77">
        <v>315</v>
      </c>
      <c r="AJ75" s="77">
        <v>315</v>
      </c>
      <c r="AK75" s="77">
        <v>315</v>
      </c>
      <c r="AL75" s="77">
        <v>315</v>
      </c>
      <c r="AM75" s="77">
        <v>364</v>
      </c>
      <c r="AN75" s="77">
        <v>364</v>
      </c>
      <c r="AO75" s="77">
        <v>364</v>
      </c>
      <c r="AP75" s="77">
        <v>364</v>
      </c>
      <c r="AQ75" s="77">
        <v>364</v>
      </c>
      <c r="AR75" s="77">
        <v>364</v>
      </c>
      <c r="AS75" s="77">
        <v>364</v>
      </c>
      <c r="AT75" s="77">
        <v>364</v>
      </c>
      <c r="AU75" s="17"/>
      <c r="AV75" s="22"/>
      <c r="AW75" s="18"/>
    </row>
    <row r="76" spans="1:50" x14ac:dyDescent="0.2">
      <c r="C76" s="4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3"/>
    </row>
    <row r="77" spans="1:50" s="6" customFormat="1" ht="0.75" customHeight="1" x14ac:dyDescent="0.2">
      <c r="C77" s="7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31"/>
    </row>
    <row r="78" spans="1:50" ht="13.8" thickBot="1" x14ac:dyDescent="0.25"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</row>
    <row r="79" spans="1:50" x14ac:dyDescent="0.2">
      <c r="A79" s="5" t="s">
        <v>11</v>
      </c>
      <c r="B79" t="s">
        <v>7</v>
      </c>
      <c r="C79" s="15">
        <f>$C$1</f>
        <v>46174</v>
      </c>
      <c r="D79" s="73" t="s">
        <v>50</v>
      </c>
      <c r="E79" s="64" t="s">
        <v>45</v>
      </c>
      <c r="F79" s="64" t="s">
        <v>41</v>
      </c>
      <c r="G79" s="64" t="s">
        <v>51</v>
      </c>
      <c r="H79" s="65" t="s">
        <v>31</v>
      </c>
      <c r="I79" s="64" t="s">
        <v>46</v>
      </c>
      <c r="J79" s="64" t="s">
        <v>28</v>
      </c>
      <c r="K79" s="64" t="s">
        <v>42</v>
      </c>
      <c r="L79" s="64" t="s">
        <v>35</v>
      </c>
      <c r="M79" s="64" t="s">
        <v>32</v>
      </c>
      <c r="N79" s="64" t="s">
        <v>47</v>
      </c>
      <c r="O79" s="64" t="s">
        <v>29</v>
      </c>
      <c r="P79" s="64" t="s">
        <v>43</v>
      </c>
      <c r="Q79" s="64" t="s">
        <v>36</v>
      </c>
      <c r="R79" s="64" t="s">
        <v>33</v>
      </c>
      <c r="S79" s="64" t="s">
        <v>48</v>
      </c>
      <c r="T79" s="64" t="s">
        <v>30</v>
      </c>
      <c r="U79" s="64" t="s">
        <v>44</v>
      </c>
      <c r="V79" s="64" t="s">
        <v>27</v>
      </c>
      <c r="W79" s="64" t="s">
        <v>34</v>
      </c>
      <c r="X79" s="64" t="s">
        <v>49</v>
      </c>
      <c r="Y79" s="64" t="s">
        <v>37</v>
      </c>
      <c r="Z79" s="64" t="s">
        <v>52</v>
      </c>
      <c r="AA79" s="66" t="s">
        <v>53</v>
      </c>
      <c r="AB79" s="66" t="s">
        <v>41</v>
      </c>
      <c r="AC79" s="66" t="s">
        <v>31</v>
      </c>
      <c r="AD79" s="67" t="s">
        <v>38</v>
      </c>
      <c r="AE79" s="67" t="s">
        <v>28</v>
      </c>
      <c r="AF79" s="67" t="s">
        <v>54</v>
      </c>
      <c r="AG79" s="67" t="s">
        <v>42</v>
      </c>
      <c r="AH79" s="67" t="s">
        <v>32</v>
      </c>
      <c r="AI79" s="67" t="s">
        <v>39</v>
      </c>
      <c r="AJ79" s="67" t="s">
        <v>29</v>
      </c>
      <c r="AK79" s="67" t="s">
        <v>55</v>
      </c>
      <c r="AL79" s="67" t="s">
        <v>43</v>
      </c>
      <c r="AM79" s="67" t="s">
        <v>40</v>
      </c>
      <c r="AN79" s="68" t="s">
        <v>30</v>
      </c>
      <c r="AO79" s="64" t="s">
        <v>56</v>
      </c>
      <c r="AP79" s="64" t="s">
        <v>44</v>
      </c>
      <c r="AQ79" s="64" t="s">
        <v>34</v>
      </c>
      <c r="AR79" s="64" t="s">
        <v>26</v>
      </c>
      <c r="AS79" s="64" t="s">
        <v>37</v>
      </c>
      <c r="AT79" s="64" t="s">
        <v>57</v>
      </c>
      <c r="AU79" s="25"/>
      <c r="AV79" s="20"/>
      <c r="AW79" s="23"/>
    </row>
    <row r="80" spans="1:50" x14ac:dyDescent="0.2">
      <c r="C80" s="12" t="s">
        <v>21</v>
      </c>
      <c r="D80" s="74">
        <v>142034</v>
      </c>
      <c r="E80" s="69">
        <v>96356</v>
      </c>
      <c r="F80" s="69">
        <v>105508</v>
      </c>
      <c r="G80" s="69">
        <v>90334</v>
      </c>
      <c r="H80" s="69">
        <v>96923</v>
      </c>
      <c r="I80" s="69">
        <v>170557</v>
      </c>
      <c r="J80" s="69">
        <v>114796</v>
      </c>
      <c r="K80" s="69">
        <v>160191</v>
      </c>
      <c r="L80" s="69">
        <v>99608</v>
      </c>
      <c r="M80" s="69">
        <v>89767</v>
      </c>
      <c r="N80" s="69">
        <v>131214</v>
      </c>
      <c r="O80" s="69">
        <v>72597</v>
      </c>
      <c r="P80" s="69">
        <v>128680</v>
      </c>
      <c r="Q80" s="69">
        <v>73672</v>
      </c>
      <c r="R80" s="69">
        <v>77643</v>
      </c>
      <c r="S80" s="69">
        <v>107207</v>
      </c>
      <c r="T80" s="69">
        <v>66281</v>
      </c>
      <c r="U80" s="69">
        <v>119369</v>
      </c>
      <c r="V80" s="69">
        <v>74900</v>
      </c>
      <c r="W80" s="69">
        <v>74265</v>
      </c>
      <c r="X80" s="69">
        <v>86861</v>
      </c>
      <c r="Y80" s="69">
        <v>70900</v>
      </c>
      <c r="Z80" s="69">
        <v>112187</v>
      </c>
      <c r="AA80" s="69">
        <v>65735</v>
      </c>
      <c r="AB80" s="69">
        <v>70390</v>
      </c>
      <c r="AC80" s="69">
        <v>102548</v>
      </c>
      <c r="AD80" s="69">
        <v>73161</v>
      </c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11"/>
      <c r="AV80" s="21"/>
      <c r="AW80" s="9"/>
    </row>
    <row r="81" spans="1:50" s="8" customFormat="1" x14ac:dyDescent="0.2">
      <c r="C81" s="12" t="s">
        <v>3</v>
      </c>
      <c r="D81" s="75">
        <v>142.03399999999999</v>
      </c>
      <c r="E81" s="70">
        <v>96.355999999999995</v>
      </c>
      <c r="F81" s="70">
        <v>105.508</v>
      </c>
      <c r="G81" s="70">
        <v>90.334000000000003</v>
      </c>
      <c r="H81" s="70">
        <v>96.923000000000002</v>
      </c>
      <c r="I81" s="70">
        <v>170.55699999999999</v>
      </c>
      <c r="J81" s="70">
        <v>114.79600000000001</v>
      </c>
      <c r="K81" s="70">
        <v>160.191</v>
      </c>
      <c r="L81" s="70">
        <v>99.608000000000004</v>
      </c>
      <c r="M81" s="70">
        <v>89.766999999999996</v>
      </c>
      <c r="N81" s="70">
        <v>131.214</v>
      </c>
      <c r="O81" s="70">
        <v>72.596999999999994</v>
      </c>
      <c r="P81" s="70">
        <v>128.68</v>
      </c>
      <c r="Q81" s="70">
        <v>73.671999999999997</v>
      </c>
      <c r="R81" s="70">
        <v>77.643000000000001</v>
      </c>
      <c r="S81" s="70">
        <v>107.20699999999999</v>
      </c>
      <c r="T81" s="70">
        <v>66.281000000000006</v>
      </c>
      <c r="U81" s="70">
        <v>119.369</v>
      </c>
      <c r="V81" s="70">
        <v>74.900000000000006</v>
      </c>
      <c r="W81" s="70">
        <v>74.265000000000001</v>
      </c>
      <c r="X81" s="70">
        <v>86.861000000000004</v>
      </c>
      <c r="Y81" s="70">
        <v>70.900000000000006</v>
      </c>
      <c r="Z81" s="70">
        <v>112.187</v>
      </c>
      <c r="AA81" s="70">
        <v>65.734999999999999</v>
      </c>
      <c r="AB81" s="70">
        <v>70.39</v>
      </c>
      <c r="AC81" s="70">
        <v>102.548</v>
      </c>
      <c r="AD81" s="70">
        <v>73.161000000000001</v>
      </c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11"/>
      <c r="AV81" s="21"/>
      <c r="AW81" s="9"/>
      <c r="AX81"/>
    </row>
    <row r="82" spans="1:50" x14ac:dyDescent="0.2">
      <c r="C82" s="13" t="s">
        <v>22</v>
      </c>
      <c r="D82" s="76">
        <v>519</v>
      </c>
      <c r="E82" s="72">
        <v>516</v>
      </c>
      <c r="F82" s="72">
        <v>525</v>
      </c>
      <c r="G82" s="72">
        <v>480</v>
      </c>
      <c r="H82" s="72">
        <v>492</v>
      </c>
      <c r="I82" s="72">
        <v>459</v>
      </c>
      <c r="J82" s="72">
        <v>434</v>
      </c>
      <c r="K82" s="72">
        <v>434</v>
      </c>
      <c r="L82" s="72">
        <v>395</v>
      </c>
      <c r="M82" s="72">
        <v>419</v>
      </c>
      <c r="N82" s="72">
        <v>433</v>
      </c>
      <c r="O82" s="72">
        <v>445</v>
      </c>
      <c r="P82" s="72">
        <v>459</v>
      </c>
      <c r="Q82" s="72">
        <v>450</v>
      </c>
      <c r="R82" s="72">
        <v>464</v>
      </c>
      <c r="S82" s="72">
        <v>479</v>
      </c>
      <c r="T82" s="72">
        <v>498</v>
      </c>
      <c r="U82" s="72">
        <v>523</v>
      </c>
      <c r="V82" s="72">
        <v>512</v>
      </c>
      <c r="W82" s="72">
        <v>521</v>
      </c>
      <c r="X82" s="72">
        <v>561</v>
      </c>
      <c r="Y82" s="72">
        <v>562</v>
      </c>
      <c r="Z82" s="72">
        <v>577</v>
      </c>
      <c r="AA82" s="72">
        <v>580</v>
      </c>
      <c r="AB82" s="72">
        <v>585</v>
      </c>
      <c r="AC82" s="72">
        <v>603</v>
      </c>
      <c r="AD82" s="72">
        <v>594</v>
      </c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16"/>
      <c r="AV82" s="21"/>
      <c r="AW82" s="9"/>
    </row>
    <row r="83" spans="1:50" ht="13.8" thickBot="1" x14ac:dyDescent="0.25">
      <c r="C83" s="14" t="s">
        <v>20</v>
      </c>
      <c r="D83" s="77">
        <v>464</v>
      </c>
      <c r="E83" s="77">
        <v>464</v>
      </c>
      <c r="F83" s="77">
        <v>464</v>
      </c>
      <c r="G83" s="77">
        <v>464</v>
      </c>
      <c r="H83" s="77">
        <v>464</v>
      </c>
      <c r="I83" s="77">
        <v>464</v>
      </c>
      <c r="J83" s="77">
        <v>464</v>
      </c>
      <c r="K83" s="77">
        <v>498</v>
      </c>
      <c r="L83" s="77">
        <v>498</v>
      </c>
      <c r="M83" s="77">
        <v>498</v>
      </c>
      <c r="N83" s="77">
        <v>498</v>
      </c>
      <c r="O83" s="77">
        <v>498</v>
      </c>
      <c r="P83" s="77">
        <v>498</v>
      </c>
      <c r="Q83" s="77">
        <v>498</v>
      </c>
      <c r="R83" s="77">
        <v>498</v>
      </c>
      <c r="S83" s="77">
        <v>458</v>
      </c>
      <c r="T83" s="77">
        <v>458</v>
      </c>
      <c r="U83" s="77">
        <v>458</v>
      </c>
      <c r="V83" s="77">
        <v>458</v>
      </c>
      <c r="W83" s="77">
        <v>458</v>
      </c>
      <c r="X83" s="77">
        <v>458</v>
      </c>
      <c r="Y83" s="77">
        <v>458</v>
      </c>
      <c r="Z83" s="77">
        <v>436</v>
      </c>
      <c r="AA83" s="77">
        <v>436</v>
      </c>
      <c r="AB83" s="77">
        <v>436</v>
      </c>
      <c r="AC83" s="77">
        <v>436</v>
      </c>
      <c r="AD83" s="77">
        <v>436</v>
      </c>
      <c r="AE83" s="77">
        <v>436</v>
      </c>
      <c r="AF83" s="77">
        <v>436</v>
      </c>
      <c r="AG83" s="77">
        <v>453</v>
      </c>
      <c r="AH83" s="77">
        <v>453</v>
      </c>
      <c r="AI83" s="77">
        <v>453</v>
      </c>
      <c r="AJ83" s="77">
        <v>453</v>
      </c>
      <c r="AK83" s="77">
        <v>453</v>
      </c>
      <c r="AL83" s="77">
        <v>453</v>
      </c>
      <c r="AM83" s="77">
        <v>460</v>
      </c>
      <c r="AN83" s="77">
        <v>460</v>
      </c>
      <c r="AO83" s="77">
        <v>460</v>
      </c>
      <c r="AP83" s="77">
        <v>460</v>
      </c>
      <c r="AQ83" s="77">
        <v>460</v>
      </c>
      <c r="AR83" s="77">
        <v>460</v>
      </c>
      <c r="AS83" s="77">
        <v>460</v>
      </c>
      <c r="AT83" s="77">
        <v>460</v>
      </c>
      <c r="AU83" s="30"/>
      <c r="AV83" s="22"/>
      <c r="AW83" s="18"/>
    </row>
    <row r="84" spans="1:50" ht="13.8" thickBot="1" x14ac:dyDescent="0.25"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</row>
    <row r="85" spans="1:50" x14ac:dyDescent="0.2">
      <c r="A85" t="s">
        <v>11</v>
      </c>
      <c r="B85" t="s">
        <v>6</v>
      </c>
      <c r="C85" s="29">
        <f>$C$1</f>
        <v>46174</v>
      </c>
      <c r="D85" s="73" t="s">
        <v>50</v>
      </c>
      <c r="E85" s="64" t="s">
        <v>45</v>
      </c>
      <c r="F85" s="64" t="s">
        <v>41</v>
      </c>
      <c r="G85" s="64" t="s">
        <v>51</v>
      </c>
      <c r="H85" s="65" t="s">
        <v>31</v>
      </c>
      <c r="I85" s="64" t="s">
        <v>46</v>
      </c>
      <c r="J85" s="64" t="s">
        <v>28</v>
      </c>
      <c r="K85" s="64" t="s">
        <v>42</v>
      </c>
      <c r="L85" s="64" t="s">
        <v>35</v>
      </c>
      <c r="M85" s="64" t="s">
        <v>32</v>
      </c>
      <c r="N85" s="64" t="s">
        <v>47</v>
      </c>
      <c r="O85" s="64" t="s">
        <v>29</v>
      </c>
      <c r="P85" s="64" t="s">
        <v>43</v>
      </c>
      <c r="Q85" s="64" t="s">
        <v>36</v>
      </c>
      <c r="R85" s="64" t="s">
        <v>33</v>
      </c>
      <c r="S85" s="64" t="s">
        <v>48</v>
      </c>
      <c r="T85" s="64" t="s">
        <v>30</v>
      </c>
      <c r="U85" s="64" t="s">
        <v>44</v>
      </c>
      <c r="V85" s="64" t="s">
        <v>27</v>
      </c>
      <c r="W85" s="64" t="s">
        <v>34</v>
      </c>
      <c r="X85" s="64" t="s">
        <v>49</v>
      </c>
      <c r="Y85" s="64" t="s">
        <v>37</v>
      </c>
      <c r="Z85" s="64" t="s">
        <v>52</v>
      </c>
      <c r="AA85" s="66" t="s">
        <v>53</v>
      </c>
      <c r="AB85" s="66" t="s">
        <v>41</v>
      </c>
      <c r="AC85" s="66" t="s">
        <v>31</v>
      </c>
      <c r="AD85" s="67" t="s">
        <v>38</v>
      </c>
      <c r="AE85" s="67" t="s">
        <v>28</v>
      </c>
      <c r="AF85" s="67" t="s">
        <v>54</v>
      </c>
      <c r="AG85" s="67" t="s">
        <v>42</v>
      </c>
      <c r="AH85" s="67" t="s">
        <v>32</v>
      </c>
      <c r="AI85" s="67" t="s">
        <v>39</v>
      </c>
      <c r="AJ85" s="67" t="s">
        <v>29</v>
      </c>
      <c r="AK85" s="67" t="s">
        <v>55</v>
      </c>
      <c r="AL85" s="67" t="s">
        <v>43</v>
      </c>
      <c r="AM85" s="67" t="s">
        <v>40</v>
      </c>
      <c r="AN85" s="68" t="s">
        <v>30</v>
      </c>
      <c r="AO85" s="64" t="s">
        <v>56</v>
      </c>
      <c r="AP85" s="64" t="s">
        <v>44</v>
      </c>
      <c r="AQ85" s="64" t="s">
        <v>34</v>
      </c>
      <c r="AR85" s="64" t="s">
        <v>26</v>
      </c>
      <c r="AS85" s="64" t="s">
        <v>37</v>
      </c>
      <c r="AT85" s="64" t="s">
        <v>57</v>
      </c>
      <c r="AU85" s="25"/>
      <c r="AV85" s="20"/>
      <c r="AW85" s="23"/>
    </row>
    <row r="86" spans="1:50" x14ac:dyDescent="0.2">
      <c r="C86" s="12" t="s">
        <v>21</v>
      </c>
      <c r="D86" s="74">
        <v>32107</v>
      </c>
      <c r="E86" s="69">
        <v>21479</v>
      </c>
      <c r="F86" s="69">
        <v>23931</v>
      </c>
      <c r="G86" s="69">
        <v>14159</v>
      </c>
      <c r="H86" s="69">
        <v>17557</v>
      </c>
      <c r="I86" s="69">
        <v>31734</v>
      </c>
      <c r="J86" s="69">
        <v>22220</v>
      </c>
      <c r="K86" s="69">
        <v>27156</v>
      </c>
      <c r="L86" s="69">
        <v>24708</v>
      </c>
      <c r="M86" s="69">
        <v>18395</v>
      </c>
      <c r="N86" s="69">
        <v>35851</v>
      </c>
      <c r="O86" s="69">
        <v>15196</v>
      </c>
      <c r="P86" s="69">
        <v>26373</v>
      </c>
      <c r="Q86" s="69">
        <v>18063</v>
      </c>
      <c r="R86" s="69">
        <v>18279</v>
      </c>
      <c r="S86" s="69">
        <v>25993</v>
      </c>
      <c r="T86" s="69">
        <v>16785</v>
      </c>
      <c r="U86" s="69">
        <v>24570</v>
      </c>
      <c r="V86" s="69">
        <v>15334</v>
      </c>
      <c r="W86" s="69">
        <v>18616</v>
      </c>
      <c r="X86" s="69">
        <v>17738</v>
      </c>
      <c r="Y86" s="69">
        <v>13631</v>
      </c>
      <c r="Z86" s="69">
        <v>22540</v>
      </c>
      <c r="AA86" s="69">
        <v>16789</v>
      </c>
      <c r="AB86" s="69">
        <v>18877</v>
      </c>
      <c r="AC86" s="69">
        <v>20282</v>
      </c>
      <c r="AD86" s="69">
        <v>19337</v>
      </c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11"/>
      <c r="AV86" s="21"/>
      <c r="AW86" s="9"/>
    </row>
    <row r="87" spans="1:50" s="8" customFormat="1" x14ac:dyDescent="0.2">
      <c r="C87" s="12" t="s">
        <v>3</v>
      </c>
      <c r="D87" s="75">
        <v>32.106999999999999</v>
      </c>
      <c r="E87" s="70">
        <v>21.478999999999999</v>
      </c>
      <c r="F87" s="70">
        <v>23.931000000000001</v>
      </c>
      <c r="G87" s="70">
        <v>14.159000000000001</v>
      </c>
      <c r="H87" s="70">
        <v>17.556999999999999</v>
      </c>
      <c r="I87" s="70">
        <v>31.734000000000002</v>
      </c>
      <c r="J87" s="70">
        <v>22.22</v>
      </c>
      <c r="K87" s="70">
        <v>27.155999999999999</v>
      </c>
      <c r="L87" s="70">
        <v>24.707999999999998</v>
      </c>
      <c r="M87" s="70">
        <v>18.395</v>
      </c>
      <c r="N87" s="70">
        <v>35.850999999999999</v>
      </c>
      <c r="O87" s="70">
        <v>15.196</v>
      </c>
      <c r="P87" s="70">
        <v>26.373000000000001</v>
      </c>
      <c r="Q87" s="70">
        <v>18.062999999999999</v>
      </c>
      <c r="R87" s="70">
        <v>18.279</v>
      </c>
      <c r="S87" s="70">
        <v>25.992999999999999</v>
      </c>
      <c r="T87" s="70">
        <v>16.785</v>
      </c>
      <c r="U87" s="70">
        <v>24.57</v>
      </c>
      <c r="V87" s="70">
        <v>15.334</v>
      </c>
      <c r="W87" s="70">
        <v>18.616</v>
      </c>
      <c r="X87" s="70">
        <v>17.738</v>
      </c>
      <c r="Y87" s="70">
        <v>13.631</v>
      </c>
      <c r="Z87" s="70">
        <v>22.54</v>
      </c>
      <c r="AA87" s="70">
        <v>16.789000000000001</v>
      </c>
      <c r="AB87" s="70">
        <v>18.876999999999999</v>
      </c>
      <c r="AC87" s="70">
        <v>20.282</v>
      </c>
      <c r="AD87" s="70">
        <v>19.337</v>
      </c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11"/>
      <c r="AV87" s="21"/>
      <c r="AW87" s="9"/>
      <c r="AX87"/>
    </row>
    <row r="88" spans="1:50" x14ac:dyDescent="0.2">
      <c r="C88" s="13" t="s">
        <v>22</v>
      </c>
      <c r="D88" s="76">
        <v>388</v>
      </c>
      <c r="E88" s="72">
        <v>421</v>
      </c>
      <c r="F88" s="72">
        <v>430</v>
      </c>
      <c r="G88" s="72">
        <v>531</v>
      </c>
      <c r="H88" s="72">
        <v>504</v>
      </c>
      <c r="I88" s="72">
        <v>379</v>
      </c>
      <c r="J88" s="72">
        <v>421</v>
      </c>
      <c r="K88" s="72">
        <v>404</v>
      </c>
      <c r="L88" s="72">
        <v>376</v>
      </c>
      <c r="M88" s="72">
        <v>450</v>
      </c>
      <c r="N88" s="72">
        <v>386</v>
      </c>
      <c r="O88" s="72">
        <v>506</v>
      </c>
      <c r="P88" s="72">
        <v>459</v>
      </c>
      <c r="Q88" s="72">
        <v>476</v>
      </c>
      <c r="R88" s="72">
        <v>481</v>
      </c>
      <c r="S88" s="72">
        <v>447</v>
      </c>
      <c r="T88" s="72">
        <v>490</v>
      </c>
      <c r="U88" s="72">
        <v>472</v>
      </c>
      <c r="V88" s="72">
        <v>496</v>
      </c>
      <c r="W88" s="72">
        <v>521</v>
      </c>
      <c r="X88" s="72">
        <v>529</v>
      </c>
      <c r="Y88" s="72">
        <v>582</v>
      </c>
      <c r="Z88" s="72">
        <v>575</v>
      </c>
      <c r="AA88" s="72">
        <v>570</v>
      </c>
      <c r="AB88" s="72">
        <v>586</v>
      </c>
      <c r="AC88" s="72">
        <v>610</v>
      </c>
      <c r="AD88" s="72">
        <v>603</v>
      </c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16"/>
      <c r="AV88" s="21"/>
      <c r="AW88" s="9"/>
    </row>
    <row r="89" spans="1:50" ht="13.8" thickBot="1" x14ac:dyDescent="0.25">
      <c r="C89" s="14" t="s">
        <v>20</v>
      </c>
      <c r="D89" s="77">
        <v>420</v>
      </c>
      <c r="E89" s="77">
        <v>420</v>
      </c>
      <c r="F89" s="77">
        <v>420</v>
      </c>
      <c r="G89" s="77">
        <v>420</v>
      </c>
      <c r="H89" s="77">
        <v>420</v>
      </c>
      <c r="I89" s="77">
        <v>420</v>
      </c>
      <c r="J89" s="77">
        <v>420</v>
      </c>
      <c r="K89" s="77">
        <v>456</v>
      </c>
      <c r="L89" s="77">
        <v>456</v>
      </c>
      <c r="M89" s="77">
        <v>456</v>
      </c>
      <c r="N89" s="77">
        <v>456</v>
      </c>
      <c r="O89" s="77">
        <v>456</v>
      </c>
      <c r="P89" s="77">
        <v>456</v>
      </c>
      <c r="Q89" s="77">
        <v>456</v>
      </c>
      <c r="R89" s="77">
        <v>456</v>
      </c>
      <c r="S89" s="77">
        <v>456</v>
      </c>
      <c r="T89" s="77">
        <v>456</v>
      </c>
      <c r="U89" s="77">
        <v>456</v>
      </c>
      <c r="V89" s="77">
        <v>456</v>
      </c>
      <c r="W89" s="77">
        <v>456</v>
      </c>
      <c r="X89" s="77">
        <v>456</v>
      </c>
      <c r="Y89" s="77">
        <v>456</v>
      </c>
      <c r="Z89" s="77">
        <v>438</v>
      </c>
      <c r="AA89" s="77">
        <v>438</v>
      </c>
      <c r="AB89" s="77">
        <v>438</v>
      </c>
      <c r="AC89" s="77">
        <v>438</v>
      </c>
      <c r="AD89" s="77">
        <v>438</v>
      </c>
      <c r="AE89" s="77">
        <v>438</v>
      </c>
      <c r="AF89" s="77">
        <v>438</v>
      </c>
      <c r="AG89" s="77">
        <v>461</v>
      </c>
      <c r="AH89" s="77">
        <v>461</v>
      </c>
      <c r="AI89" s="77">
        <v>461</v>
      </c>
      <c r="AJ89" s="77">
        <v>461</v>
      </c>
      <c r="AK89" s="77">
        <v>461</v>
      </c>
      <c r="AL89" s="77">
        <v>461</v>
      </c>
      <c r="AM89" s="77">
        <v>468</v>
      </c>
      <c r="AN89" s="77">
        <v>468</v>
      </c>
      <c r="AO89" s="77">
        <v>468</v>
      </c>
      <c r="AP89" s="77">
        <v>468</v>
      </c>
      <c r="AQ89" s="77">
        <v>468</v>
      </c>
      <c r="AR89" s="77">
        <v>468</v>
      </c>
      <c r="AS89" s="77">
        <v>468</v>
      </c>
      <c r="AT89" s="77">
        <v>468</v>
      </c>
      <c r="AU89" s="30"/>
      <c r="AV89" s="30"/>
      <c r="AW89" s="18"/>
    </row>
    <row r="90" spans="1:50" ht="13.8" thickBot="1" x14ac:dyDescent="0.25"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</row>
    <row r="91" spans="1:50" x14ac:dyDescent="0.2">
      <c r="A91" t="s">
        <v>11</v>
      </c>
      <c r="B91" t="s">
        <v>5</v>
      </c>
      <c r="C91" s="29">
        <f>$C$1</f>
        <v>46174</v>
      </c>
      <c r="D91" s="73" t="s">
        <v>50</v>
      </c>
      <c r="E91" s="64" t="s">
        <v>45</v>
      </c>
      <c r="F91" s="64" t="s">
        <v>41</v>
      </c>
      <c r="G91" s="64" t="s">
        <v>51</v>
      </c>
      <c r="H91" s="65" t="s">
        <v>31</v>
      </c>
      <c r="I91" s="64" t="s">
        <v>46</v>
      </c>
      <c r="J91" s="64" t="s">
        <v>28</v>
      </c>
      <c r="K91" s="64" t="s">
        <v>42</v>
      </c>
      <c r="L91" s="64" t="s">
        <v>35</v>
      </c>
      <c r="M91" s="64" t="s">
        <v>32</v>
      </c>
      <c r="N91" s="64" t="s">
        <v>47</v>
      </c>
      <c r="O91" s="64" t="s">
        <v>29</v>
      </c>
      <c r="P91" s="64" t="s">
        <v>43</v>
      </c>
      <c r="Q91" s="64" t="s">
        <v>36</v>
      </c>
      <c r="R91" s="64" t="s">
        <v>33</v>
      </c>
      <c r="S91" s="64" t="s">
        <v>48</v>
      </c>
      <c r="T91" s="64" t="s">
        <v>30</v>
      </c>
      <c r="U91" s="64" t="s">
        <v>44</v>
      </c>
      <c r="V91" s="64" t="s">
        <v>27</v>
      </c>
      <c r="W91" s="64" t="s">
        <v>34</v>
      </c>
      <c r="X91" s="64" t="s">
        <v>49</v>
      </c>
      <c r="Y91" s="64" t="s">
        <v>37</v>
      </c>
      <c r="Z91" s="64" t="s">
        <v>52</v>
      </c>
      <c r="AA91" s="66" t="s">
        <v>53</v>
      </c>
      <c r="AB91" s="66" t="s">
        <v>41</v>
      </c>
      <c r="AC91" s="66" t="s">
        <v>31</v>
      </c>
      <c r="AD91" s="67" t="s">
        <v>38</v>
      </c>
      <c r="AE91" s="67" t="s">
        <v>28</v>
      </c>
      <c r="AF91" s="67" t="s">
        <v>54</v>
      </c>
      <c r="AG91" s="67" t="s">
        <v>42</v>
      </c>
      <c r="AH91" s="67" t="s">
        <v>32</v>
      </c>
      <c r="AI91" s="67" t="s">
        <v>39</v>
      </c>
      <c r="AJ91" s="67" t="s">
        <v>29</v>
      </c>
      <c r="AK91" s="67" t="s">
        <v>55</v>
      </c>
      <c r="AL91" s="67" t="s">
        <v>43</v>
      </c>
      <c r="AM91" s="67" t="s">
        <v>40</v>
      </c>
      <c r="AN91" s="68" t="s">
        <v>30</v>
      </c>
      <c r="AO91" s="64" t="s">
        <v>56</v>
      </c>
      <c r="AP91" s="64" t="s">
        <v>44</v>
      </c>
      <c r="AQ91" s="64" t="s">
        <v>34</v>
      </c>
      <c r="AR91" s="64" t="s">
        <v>26</v>
      </c>
      <c r="AS91" s="64" t="s">
        <v>37</v>
      </c>
      <c r="AT91" s="64" t="s">
        <v>57</v>
      </c>
      <c r="AU91" s="25"/>
      <c r="AV91" s="20"/>
      <c r="AW91" s="23"/>
    </row>
    <row r="92" spans="1:50" x14ac:dyDescent="0.2">
      <c r="C92" s="12" t="s">
        <v>21</v>
      </c>
      <c r="D92" s="74">
        <v>42333</v>
      </c>
      <c r="E92" s="69">
        <v>31610</v>
      </c>
      <c r="F92" s="69">
        <v>26311</v>
      </c>
      <c r="G92" s="69">
        <v>27863</v>
      </c>
      <c r="H92" s="69">
        <v>30655</v>
      </c>
      <c r="I92" s="69">
        <v>43154</v>
      </c>
      <c r="J92" s="69">
        <v>31635</v>
      </c>
      <c r="K92" s="69">
        <v>45910</v>
      </c>
      <c r="L92" s="69">
        <v>32161</v>
      </c>
      <c r="M92" s="69">
        <v>33676</v>
      </c>
      <c r="N92" s="69">
        <v>35268</v>
      </c>
      <c r="O92" s="69">
        <v>25447</v>
      </c>
      <c r="P92" s="69">
        <v>35139</v>
      </c>
      <c r="Q92" s="69">
        <v>22235</v>
      </c>
      <c r="R92" s="69">
        <v>35117</v>
      </c>
      <c r="S92" s="69">
        <v>39225</v>
      </c>
      <c r="T92" s="69">
        <v>24760</v>
      </c>
      <c r="U92" s="69">
        <v>36052</v>
      </c>
      <c r="V92" s="69">
        <v>20899</v>
      </c>
      <c r="W92" s="69">
        <v>20570</v>
      </c>
      <c r="X92" s="69">
        <v>23575</v>
      </c>
      <c r="Y92" s="69">
        <v>19077</v>
      </c>
      <c r="Z92" s="69">
        <v>29121</v>
      </c>
      <c r="AA92" s="69">
        <v>20411</v>
      </c>
      <c r="AB92" s="69">
        <v>27827</v>
      </c>
      <c r="AC92" s="69">
        <v>32721</v>
      </c>
      <c r="AD92" s="69">
        <v>23750</v>
      </c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11"/>
      <c r="AV92" s="21"/>
      <c r="AW92" s="9"/>
    </row>
    <row r="93" spans="1:50" s="8" customFormat="1" x14ac:dyDescent="0.2">
      <c r="C93" s="12" t="s">
        <v>3</v>
      </c>
      <c r="D93" s="75">
        <v>42.332999999999998</v>
      </c>
      <c r="E93" s="70">
        <v>31.61</v>
      </c>
      <c r="F93" s="70">
        <v>26.311</v>
      </c>
      <c r="G93" s="70">
        <v>27.863</v>
      </c>
      <c r="H93" s="70">
        <v>30.655000000000001</v>
      </c>
      <c r="I93" s="70">
        <v>43.154000000000003</v>
      </c>
      <c r="J93" s="70">
        <v>31.635000000000002</v>
      </c>
      <c r="K93" s="70">
        <v>45.91</v>
      </c>
      <c r="L93" s="70">
        <v>32.161000000000001</v>
      </c>
      <c r="M93" s="70">
        <v>33.676000000000002</v>
      </c>
      <c r="N93" s="70">
        <v>35.268000000000001</v>
      </c>
      <c r="O93" s="70">
        <v>25.446999999999999</v>
      </c>
      <c r="P93" s="70">
        <v>35.139000000000003</v>
      </c>
      <c r="Q93" s="70">
        <v>22.234999999999999</v>
      </c>
      <c r="R93" s="70">
        <v>35.116999999999997</v>
      </c>
      <c r="S93" s="70">
        <v>39.225000000000001</v>
      </c>
      <c r="T93" s="70">
        <v>24.76</v>
      </c>
      <c r="U93" s="70">
        <v>36.052</v>
      </c>
      <c r="V93" s="70">
        <v>20.899000000000001</v>
      </c>
      <c r="W93" s="70">
        <v>20.57</v>
      </c>
      <c r="X93" s="70">
        <v>23.574999999999999</v>
      </c>
      <c r="Y93" s="70">
        <v>19.077000000000002</v>
      </c>
      <c r="Z93" s="70">
        <v>29.120999999999999</v>
      </c>
      <c r="AA93" s="70">
        <v>20.411000000000001</v>
      </c>
      <c r="AB93" s="70">
        <v>27.827000000000002</v>
      </c>
      <c r="AC93" s="70">
        <v>32.720999999999997</v>
      </c>
      <c r="AD93" s="70">
        <v>23.75</v>
      </c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11"/>
      <c r="AV93" s="21"/>
      <c r="AW93" s="9"/>
      <c r="AX93"/>
    </row>
    <row r="94" spans="1:50" x14ac:dyDescent="0.2">
      <c r="C94" s="13" t="s">
        <v>22</v>
      </c>
      <c r="D94" s="76">
        <v>366</v>
      </c>
      <c r="E94" s="72">
        <v>345</v>
      </c>
      <c r="F94" s="72">
        <v>382</v>
      </c>
      <c r="G94" s="72">
        <v>376</v>
      </c>
      <c r="H94" s="72">
        <v>370</v>
      </c>
      <c r="I94" s="72">
        <v>335</v>
      </c>
      <c r="J94" s="72">
        <v>368</v>
      </c>
      <c r="K94" s="72">
        <v>350</v>
      </c>
      <c r="L94" s="72">
        <v>319</v>
      </c>
      <c r="M94" s="72">
        <v>328</v>
      </c>
      <c r="N94" s="72">
        <v>347</v>
      </c>
      <c r="O94" s="72">
        <v>386</v>
      </c>
      <c r="P94" s="72">
        <v>413</v>
      </c>
      <c r="Q94" s="72">
        <v>434</v>
      </c>
      <c r="R94" s="72">
        <v>417</v>
      </c>
      <c r="S94" s="72">
        <v>415</v>
      </c>
      <c r="T94" s="72">
        <v>470</v>
      </c>
      <c r="U94" s="72">
        <v>492</v>
      </c>
      <c r="V94" s="72">
        <v>495</v>
      </c>
      <c r="W94" s="72">
        <v>474</v>
      </c>
      <c r="X94" s="72">
        <v>504</v>
      </c>
      <c r="Y94" s="72">
        <v>552</v>
      </c>
      <c r="Z94" s="72">
        <v>533</v>
      </c>
      <c r="AA94" s="72">
        <v>548</v>
      </c>
      <c r="AB94" s="72">
        <v>552</v>
      </c>
      <c r="AC94" s="72">
        <v>542</v>
      </c>
      <c r="AD94" s="72">
        <v>576</v>
      </c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16"/>
      <c r="AV94" s="21"/>
      <c r="AW94" s="9"/>
    </row>
    <row r="95" spans="1:50" ht="13.8" thickBot="1" x14ac:dyDescent="0.25">
      <c r="C95" s="14" t="s">
        <v>20</v>
      </c>
      <c r="D95" s="77">
        <v>378</v>
      </c>
      <c r="E95" s="77">
        <v>378</v>
      </c>
      <c r="F95" s="77">
        <v>378</v>
      </c>
      <c r="G95" s="77">
        <v>378</v>
      </c>
      <c r="H95" s="77">
        <v>378</v>
      </c>
      <c r="I95" s="77">
        <v>378</v>
      </c>
      <c r="J95" s="77">
        <v>378</v>
      </c>
      <c r="K95" s="77">
        <v>425</v>
      </c>
      <c r="L95" s="77">
        <v>425</v>
      </c>
      <c r="M95" s="77">
        <v>425</v>
      </c>
      <c r="N95" s="77">
        <v>425</v>
      </c>
      <c r="O95" s="77">
        <v>425</v>
      </c>
      <c r="P95" s="77">
        <v>425</v>
      </c>
      <c r="Q95" s="77">
        <v>425</v>
      </c>
      <c r="R95" s="77">
        <v>425</v>
      </c>
      <c r="S95" s="77">
        <v>415</v>
      </c>
      <c r="T95" s="77">
        <v>415</v>
      </c>
      <c r="U95" s="77">
        <v>415</v>
      </c>
      <c r="V95" s="77">
        <v>415</v>
      </c>
      <c r="W95" s="77">
        <v>415</v>
      </c>
      <c r="X95" s="77">
        <v>415</v>
      </c>
      <c r="Y95" s="77">
        <v>415</v>
      </c>
      <c r="Z95" s="77">
        <v>406</v>
      </c>
      <c r="AA95" s="77">
        <v>406</v>
      </c>
      <c r="AB95" s="77">
        <v>406</v>
      </c>
      <c r="AC95" s="77">
        <v>406</v>
      </c>
      <c r="AD95" s="77">
        <v>406</v>
      </c>
      <c r="AE95" s="77">
        <v>406</v>
      </c>
      <c r="AF95" s="77">
        <v>406</v>
      </c>
      <c r="AG95" s="77">
        <v>416</v>
      </c>
      <c r="AH95" s="77">
        <v>416</v>
      </c>
      <c r="AI95" s="77">
        <v>416</v>
      </c>
      <c r="AJ95" s="77">
        <v>416</v>
      </c>
      <c r="AK95" s="77">
        <v>416</v>
      </c>
      <c r="AL95" s="77">
        <v>416</v>
      </c>
      <c r="AM95" s="77">
        <v>417</v>
      </c>
      <c r="AN95" s="77">
        <v>417</v>
      </c>
      <c r="AO95" s="77">
        <v>417</v>
      </c>
      <c r="AP95" s="77">
        <v>417</v>
      </c>
      <c r="AQ95" s="77">
        <v>417</v>
      </c>
      <c r="AR95" s="77">
        <v>417</v>
      </c>
      <c r="AS95" s="77">
        <v>417</v>
      </c>
      <c r="AT95" s="77">
        <v>417</v>
      </c>
      <c r="AU95" s="22"/>
      <c r="AV95" s="22"/>
      <c r="AW95" s="18"/>
    </row>
    <row r="96" spans="1:50" ht="13.8" thickBot="1" x14ac:dyDescent="0.25"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</row>
    <row r="97" spans="1:50" x14ac:dyDescent="0.2">
      <c r="A97" t="s">
        <v>11</v>
      </c>
      <c r="B97" t="s">
        <v>4</v>
      </c>
      <c r="C97" s="29">
        <f>$C$1</f>
        <v>46174</v>
      </c>
      <c r="D97" s="73" t="s">
        <v>50</v>
      </c>
      <c r="E97" s="64" t="s">
        <v>45</v>
      </c>
      <c r="F97" s="64" t="s">
        <v>41</v>
      </c>
      <c r="G97" s="64" t="s">
        <v>51</v>
      </c>
      <c r="H97" s="65" t="s">
        <v>31</v>
      </c>
      <c r="I97" s="64" t="s">
        <v>46</v>
      </c>
      <c r="J97" s="64" t="s">
        <v>28</v>
      </c>
      <c r="K97" s="64" t="s">
        <v>42</v>
      </c>
      <c r="L97" s="64" t="s">
        <v>35</v>
      </c>
      <c r="M97" s="64" t="s">
        <v>32</v>
      </c>
      <c r="N97" s="64" t="s">
        <v>47</v>
      </c>
      <c r="O97" s="64" t="s">
        <v>29</v>
      </c>
      <c r="P97" s="64" t="s">
        <v>43</v>
      </c>
      <c r="Q97" s="64" t="s">
        <v>36</v>
      </c>
      <c r="R97" s="64" t="s">
        <v>33</v>
      </c>
      <c r="S97" s="64" t="s">
        <v>48</v>
      </c>
      <c r="T97" s="64" t="s">
        <v>30</v>
      </c>
      <c r="U97" s="64" t="s">
        <v>44</v>
      </c>
      <c r="V97" s="64" t="s">
        <v>27</v>
      </c>
      <c r="W97" s="64" t="s">
        <v>34</v>
      </c>
      <c r="X97" s="64" t="s">
        <v>49</v>
      </c>
      <c r="Y97" s="64" t="s">
        <v>37</v>
      </c>
      <c r="Z97" s="64" t="s">
        <v>52</v>
      </c>
      <c r="AA97" s="66" t="s">
        <v>53</v>
      </c>
      <c r="AB97" s="66" t="s">
        <v>41</v>
      </c>
      <c r="AC97" s="66" t="s">
        <v>31</v>
      </c>
      <c r="AD97" s="67" t="s">
        <v>38</v>
      </c>
      <c r="AE97" s="67" t="s">
        <v>28</v>
      </c>
      <c r="AF97" s="67" t="s">
        <v>54</v>
      </c>
      <c r="AG97" s="67" t="s">
        <v>42</v>
      </c>
      <c r="AH97" s="67" t="s">
        <v>32</v>
      </c>
      <c r="AI97" s="67" t="s">
        <v>39</v>
      </c>
      <c r="AJ97" s="67" t="s">
        <v>29</v>
      </c>
      <c r="AK97" s="67" t="s">
        <v>55</v>
      </c>
      <c r="AL97" s="67" t="s">
        <v>43</v>
      </c>
      <c r="AM97" s="67" t="s">
        <v>40</v>
      </c>
      <c r="AN97" s="68" t="s">
        <v>30</v>
      </c>
      <c r="AO97" s="64" t="s">
        <v>56</v>
      </c>
      <c r="AP97" s="64" t="s">
        <v>44</v>
      </c>
      <c r="AQ97" s="64" t="s">
        <v>34</v>
      </c>
      <c r="AR97" s="64" t="s">
        <v>26</v>
      </c>
      <c r="AS97" s="64" t="s">
        <v>37</v>
      </c>
      <c r="AT97" s="64" t="s">
        <v>57</v>
      </c>
      <c r="AU97" s="25"/>
      <c r="AV97" s="20"/>
      <c r="AW97" s="23"/>
    </row>
    <row r="98" spans="1:50" x14ac:dyDescent="0.2">
      <c r="C98" s="12" t="s">
        <v>21</v>
      </c>
      <c r="D98" s="74">
        <v>18631</v>
      </c>
      <c r="E98" s="69">
        <v>14168</v>
      </c>
      <c r="F98" s="69">
        <v>26322</v>
      </c>
      <c r="G98" s="69">
        <v>21063</v>
      </c>
      <c r="H98" s="69">
        <v>25589</v>
      </c>
      <c r="I98" s="69">
        <v>28772</v>
      </c>
      <c r="J98" s="69">
        <v>34015</v>
      </c>
      <c r="K98" s="69">
        <v>28133</v>
      </c>
      <c r="L98" s="69">
        <v>21852</v>
      </c>
      <c r="M98" s="69">
        <v>24372</v>
      </c>
      <c r="N98" s="69">
        <v>13719</v>
      </c>
      <c r="O98" s="69">
        <v>16564</v>
      </c>
      <c r="P98" s="69">
        <v>20052</v>
      </c>
      <c r="Q98" s="69">
        <v>14144</v>
      </c>
      <c r="R98" s="69">
        <v>19680</v>
      </c>
      <c r="S98" s="69">
        <v>16386</v>
      </c>
      <c r="T98" s="69">
        <v>18581</v>
      </c>
      <c r="U98" s="69">
        <v>19871</v>
      </c>
      <c r="V98" s="69">
        <v>17043</v>
      </c>
      <c r="W98" s="69">
        <v>18702</v>
      </c>
      <c r="X98" s="69">
        <v>12904</v>
      </c>
      <c r="Y98" s="69">
        <v>13075</v>
      </c>
      <c r="Z98" s="69">
        <v>18540</v>
      </c>
      <c r="AA98" s="69">
        <v>12836</v>
      </c>
      <c r="AB98" s="69">
        <v>15851</v>
      </c>
      <c r="AC98" s="69">
        <v>14294</v>
      </c>
      <c r="AD98" s="69">
        <v>17692</v>
      </c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11"/>
      <c r="AV98" s="21"/>
      <c r="AW98" s="9"/>
    </row>
    <row r="99" spans="1:50" s="8" customFormat="1" x14ac:dyDescent="0.2">
      <c r="C99" s="12" t="s">
        <v>3</v>
      </c>
      <c r="D99" s="75">
        <v>18.631</v>
      </c>
      <c r="E99" s="70">
        <v>14.167999999999999</v>
      </c>
      <c r="F99" s="70">
        <v>26.321999999999999</v>
      </c>
      <c r="G99" s="70">
        <v>21.062999999999999</v>
      </c>
      <c r="H99" s="70">
        <v>25.588999999999999</v>
      </c>
      <c r="I99" s="70">
        <v>28.771999999999998</v>
      </c>
      <c r="J99" s="70">
        <v>34.015000000000001</v>
      </c>
      <c r="K99" s="70">
        <v>28.132999999999999</v>
      </c>
      <c r="L99" s="70">
        <v>21.852</v>
      </c>
      <c r="M99" s="70">
        <v>24.372</v>
      </c>
      <c r="N99" s="70">
        <v>13.718999999999999</v>
      </c>
      <c r="O99" s="70">
        <v>16.564</v>
      </c>
      <c r="P99" s="70">
        <v>20.052</v>
      </c>
      <c r="Q99" s="70">
        <v>14.144</v>
      </c>
      <c r="R99" s="70">
        <v>19.68</v>
      </c>
      <c r="S99" s="70">
        <v>16.385999999999999</v>
      </c>
      <c r="T99" s="70">
        <v>18.581</v>
      </c>
      <c r="U99" s="70">
        <v>19.870999999999999</v>
      </c>
      <c r="V99" s="70">
        <v>17.042999999999999</v>
      </c>
      <c r="W99" s="70">
        <v>18.702000000000002</v>
      </c>
      <c r="X99" s="70">
        <v>12.904</v>
      </c>
      <c r="Y99" s="70">
        <v>13.074999999999999</v>
      </c>
      <c r="Z99" s="70">
        <v>18.54</v>
      </c>
      <c r="AA99" s="70">
        <v>12.836</v>
      </c>
      <c r="AB99" s="70">
        <v>15.851000000000001</v>
      </c>
      <c r="AC99" s="70">
        <v>14.294</v>
      </c>
      <c r="AD99" s="70">
        <v>17.692</v>
      </c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11"/>
      <c r="AV99" s="21"/>
      <c r="AW99" s="9"/>
      <c r="AX99"/>
    </row>
    <row r="100" spans="1:50" x14ac:dyDescent="0.2">
      <c r="C100" s="13" t="s">
        <v>22</v>
      </c>
      <c r="D100" s="76">
        <v>359</v>
      </c>
      <c r="E100" s="72">
        <v>425</v>
      </c>
      <c r="F100" s="72">
        <v>434</v>
      </c>
      <c r="G100" s="72">
        <v>422</v>
      </c>
      <c r="H100" s="72">
        <v>331</v>
      </c>
      <c r="I100" s="72">
        <v>306</v>
      </c>
      <c r="J100" s="72">
        <v>301</v>
      </c>
      <c r="K100" s="72">
        <v>339</v>
      </c>
      <c r="L100" s="72">
        <v>359</v>
      </c>
      <c r="M100" s="72">
        <v>348</v>
      </c>
      <c r="N100" s="72">
        <v>432</v>
      </c>
      <c r="O100" s="72">
        <v>405</v>
      </c>
      <c r="P100" s="72">
        <v>437</v>
      </c>
      <c r="Q100" s="72">
        <v>423</v>
      </c>
      <c r="R100" s="72">
        <v>461</v>
      </c>
      <c r="S100" s="72">
        <v>447</v>
      </c>
      <c r="T100" s="72">
        <v>454</v>
      </c>
      <c r="U100" s="72">
        <v>462</v>
      </c>
      <c r="V100" s="72">
        <v>454</v>
      </c>
      <c r="W100" s="72">
        <v>458</v>
      </c>
      <c r="X100" s="72">
        <v>476</v>
      </c>
      <c r="Y100" s="72">
        <v>490</v>
      </c>
      <c r="Z100" s="72">
        <v>498</v>
      </c>
      <c r="AA100" s="72">
        <v>499</v>
      </c>
      <c r="AB100" s="72">
        <v>533</v>
      </c>
      <c r="AC100" s="72">
        <v>526</v>
      </c>
      <c r="AD100" s="72">
        <v>530</v>
      </c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16"/>
      <c r="AV100" s="21"/>
      <c r="AW100" s="9"/>
    </row>
    <row r="101" spans="1:50" ht="13.8" thickBot="1" x14ac:dyDescent="0.25">
      <c r="C101" s="14" t="s">
        <v>20</v>
      </c>
      <c r="D101" s="77">
        <v>374</v>
      </c>
      <c r="E101" s="77">
        <v>374</v>
      </c>
      <c r="F101" s="77">
        <v>374</v>
      </c>
      <c r="G101" s="77">
        <v>374</v>
      </c>
      <c r="H101" s="77">
        <v>374</v>
      </c>
      <c r="I101" s="77">
        <v>374</v>
      </c>
      <c r="J101" s="77">
        <v>374</v>
      </c>
      <c r="K101" s="77">
        <v>384</v>
      </c>
      <c r="L101" s="77">
        <v>384</v>
      </c>
      <c r="M101" s="77">
        <v>384</v>
      </c>
      <c r="N101" s="77">
        <v>384</v>
      </c>
      <c r="O101" s="77">
        <v>384</v>
      </c>
      <c r="P101" s="77">
        <v>384</v>
      </c>
      <c r="Q101" s="77">
        <v>384</v>
      </c>
      <c r="R101" s="77">
        <v>384</v>
      </c>
      <c r="S101" s="77">
        <v>393</v>
      </c>
      <c r="T101" s="77">
        <v>393</v>
      </c>
      <c r="U101" s="77">
        <v>393</v>
      </c>
      <c r="V101" s="77">
        <v>393</v>
      </c>
      <c r="W101" s="77">
        <v>393</v>
      </c>
      <c r="X101" s="77">
        <v>393</v>
      </c>
      <c r="Y101" s="77">
        <v>393</v>
      </c>
      <c r="Z101" s="77">
        <v>374</v>
      </c>
      <c r="AA101" s="77">
        <v>374</v>
      </c>
      <c r="AB101" s="77">
        <v>374</v>
      </c>
      <c r="AC101" s="77">
        <v>374</v>
      </c>
      <c r="AD101" s="77">
        <v>374</v>
      </c>
      <c r="AE101" s="77">
        <v>374</v>
      </c>
      <c r="AF101" s="77">
        <v>374</v>
      </c>
      <c r="AG101" s="77">
        <v>388</v>
      </c>
      <c r="AH101" s="77">
        <v>388</v>
      </c>
      <c r="AI101" s="77">
        <v>388</v>
      </c>
      <c r="AJ101" s="77">
        <v>388</v>
      </c>
      <c r="AK101" s="77">
        <v>388</v>
      </c>
      <c r="AL101" s="77">
        <v>388</v>
      </c>
      <c r="AM101" s="77">
        <v>369</v>
      </c>
      <c r="AN101" s="77">
        <v>369</v>
      </c>
      <c r="AO101" s="77">
        <v>369</v>
      </c>
      <c r="AP101" s="77">
        <v>369</v>
      </c>
      <c r="AQ101" s="77">
        <v>369</v>
      </c>
      <c r="AR101" s="77">
        <v>369</v>
      </c>
      <c r="AS101" s="77">
        <v>369</v>
      </c>
      <c r="AT101" s="77">
        <v>369</v>
      </c>
      <c r="AU101" s="17"/>
      <c r="AV101" s="22"/>
      <c r="AW101" s="18"/>
    </row>
    <row r="102" spans="1:50" x14ac:dyDescent="0.2">
      <c r="C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50" s="6" customFormat="1" ht="0.75" customHeight="1" x14ac:dyDescent="0.2">
      <c r="C103" s="7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</row>
  </sheetData>
  <phoneticPr fontId="12"/>
  <printOptions headings="1"/>
  <pageMargins left="0.70866141732283472" right="0.70866141732283472" top="0.74803149606299213" bottom="0.74803149606299213" header="0.31496062992125984" footer="0.31496062992125984"/>
  <pageSetup paperSize="9"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きゅうり</vt:lpstr>
      <vt:lpstr>トマト</vt:lpstr>
      <vt:lpstr>なす</vt:lpstr>
      <vt:lpstr>ピーマン</vt:lpstr>
      <vt:lpstr>集計表</vt:lpstr>
      <vt:lpstr>きゅうり!Print_Area</vt:lpstr>
      <vt:lpstr>トマト!Print_Area</vt:lpstr>
      <vt:lpstr>なす!Print_Area</vt:lpstr>
      <vt:lpstr>ピーマン!Print_Area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2025-12-01T00:29:52Z</dcterms:created>
  <dcterms:modified xsi:type="dcterms:W3CDTF">2026-07-09T06:25:24Z</dcterms:modified>
</cp:coreProperties>
</file>