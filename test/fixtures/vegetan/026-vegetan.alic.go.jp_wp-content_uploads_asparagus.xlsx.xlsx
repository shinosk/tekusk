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ベジ探ホームページコンテンツ\ベジ探データ\総務省小売\小売マスターファイル\yasaikouri\"/>
    </mc:Choice>
  </mc:AlternateContent>
  <xr:revisionPtr revIDLastSave="0" documentId="13_ncr:1_{B253483F-A189-44F6-8141-0C9164E69948}" xr6:coauthVersionLast="47" xr6:coauthVersionMax="47" xr10:uidLastSave="{00000000-0000-0000-0000-000000000000}"/>
  <bookViews>
    <workbookView xWindow="1548" yWindow="684" windowWidth="19056" windowHeight="11556" xr2:uid="{00000000-000D-0000-FFFF-FFFF00000000}"/>
  </bookViews>
  <sheets>
    <sheet name="Graph" sheetId="7" r:id="rId1"/>
    <sheet name="Sheet１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6" i="5" l="1"/>
  <c r="X5" i="5"/>
  <c r="X6" i="5"/>
  <c r="X7" i="5"/>
  <c r="X8" i="5"/>
  <c r="X9" i="5"/>
  <c r="X10" i="5"/>
  <c r="X11" i="5"/>
  <c r="X12" i="5"/>
  <c r="X13" i="5"/>
  <c r="X14" i="5"/>
  <c r="X15" i="5"/>
  <c r="X16" i="5"/>
  <c r="X4" i="5"/>
  <c r="V16" i="5"/>
  <c r="U16" i="5" l="1"/>
  <c r="T16" i="5"/>
  <c r="S16" i="5"/>
  <c r="R16" i="5"/>
  <c r="Q16" i="5"/>
  <c r="P16" i="5"/>
  <c r="O16" i="5"/>
  <c r="M16" i="5"/>
  <c r="N16" i="5"/>
  <c r="L16" i="5"/>
  <c r="H16" i="5"/>
  <c r="J16" i="5"/>
  <c r="K16" i="5"/>
  <c r="I16" i="5"/>
  <c r="G16" i="5"/>
  <c r="F16" i="5"/>
  <c r="C16" i="5"/>
  <c r="D16" i="5"/>
  <c r="E16" i="5"/>
</calcChain>
</file>

<file path=xl/sharedStrings.xml><?xml version="1.0" encoding="utf-8"?>
<sst xmlns="http://schemas.openxmlformats.org/spreadsheetml/2006/main" count="38" uniqueCount="38">
  <si>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</si>
  <si>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</si>
  <si>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</si>
  <si>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</si>
  <si>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</si>
  <si>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</si>
  <si>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</si>
  <si>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</si>
  <si>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</si>
  <si>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</si>
  <si>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</si>
  <si>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</si>
  <si>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平成17年</t>
    <rPh sb="0" eb="2">
      <t>ヘイセイ</t>
    </rPh>
    <rPh sb="4" eb="5">
      <t>ネン</t>
    </rPh>
    <phoneticPr fontId="1"/>
  </si>
  <si>
    <t>平成18年</t>
    <rPh sb="0" eb="2">
      <t>ヘイセイ</t>
    </rPh>
    <rPh sb="4" eb="5">
      <t>ネン</t>
    </rPh>
    <phoneticPr fontId="1"/>
  </si>
  <si>
    <t>年平均値</t>
    <rPh sb="0" eb="1">
      <t>ネン</t>
    </rPh>
    <rPh sb="1" eb="3">
      <t>ヘイキン</t>
    </rPh>
    <rPh sb="3" eb="4">
      <t>チ</t>
    </rPh>
    <phoneticPr fontId="1"/>
  </si>
  <si>
    <t>平年値</t>
    <rPh sb="0" eb="2">
      <t>ヘイネン</t>
    </rPh>
    <rPh sb="2" eb="3">
      <t>チ</t>
    </rPh>
    <phoneticPr fontId="1"/>
  </si>
  <si>
    <t>アスパラガス</t>
    <phoneticPr fontId="1"/>
  </si>
  <si>
    <t>（単位：円/100g）</t>
    <rPh sb="1" eb="3">
      <t>タンイ</t>
    </rPh>
    <phoneticPr fontId="1"/>
  </si>
  <si>
    <t>2019年</t>
    <rPh sb="4" eb="5">
      <t>ネン</t>
    </rPh>
    <phoneticPr fontId="1"/>
  </si>
  <si>
    <t>2008年</t>
    <rPh sb="4" eb="5">
      <t>ネン</t>
    </rPh>
    <phoneticPr fontId="1"/>
  </si>
  <si>
    <t>2009年</t>
    <rPh sb="4" eb="5">
      <t>ネン</t>
    </rPh>
    <phoneticPr fontId="1"/>
  </si>
  <si>
    <t>2010年</t>
    <rPh sb="4" eb="5">
      <t>ネン</t>
    </rPh>
    <phoneticPr fontId="1"/>
  </si>
  <si>
    <t>2011年</t>
    <rPh sb="4" eb="5">
      <t>ネン</t>
    </rPh>
    <phoneticPr fontId="1"/>
  </si>
  <si>
    <t>2012年</t>
    <rPh sb="4" eb="5">
      <t>ネン</t>
    </rPh>
    <phoneticPr fontId="1"/>
  </si>
  <si>
    <t>2013年</t>
    <rPh sb="4" eb="5">
      <t>ネン</t>
    </rPh>
    <phoneticPr fontId="1"/>
  </si>
  <si>
    <t>2014年</t>
    <rPh sb="4" eb="5">
      <t>ネン</t>
    </rPh>
    <phoneticPr fontId="1"/>
  </si>
  <si>
    <t>2015年</t>
    <rPh sb="4" eb="5">
      <t>ネン</t>
    </rPh>
    <phoneticPr fontId="1"/>
  </si>
  <si>
    <t>2016年</t>
    <rPh sb="4" eb="5">
      <t>ネン</t>
    </rPh>
    <phoneticPr fontId="1"/>
  </si>
  <si>
    <t>2017年</t>
    <rPh sb="4" eb="5">
      <t>ネン</t>
    </rPh>
    <phoneticPr fontId="1"/>
  </si>
  <si>
    <t>2018年</t>
    <rPh sb="4" eb="5">
      <t>ネン</t>
    </rPh>
    <phoneticPr fontId="1"/>
  </si>
  <si>
    <t>2020年</t>
    <rPh sb="4" eb="5">
      <t>ネン</t>
    </rPh>
    <phoneticPr fontId="1"/>
  </si>
  <si>
    <t>2021年</t>
    <rPh sb="4" eb="5">
      <t>ネン</t>
    </rPh>
    <phoneticPr fontId="1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</si>
  <si>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</si>
  <si>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</si>
  <si>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</si>
  <si>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</si>
  <si>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</si>
  <si>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 xml:space="preserve"> 注： 平年値とは、過去5ヵ年（2021～2025年）の小売価格の平均値である。</t>
    <rPh sb="6" eb="7">
      <t>チ</t>
    </rPh>
    <rPh sb="25" eb="26">
      <t>ネン</t>
    </rPh>
    <rPh sb="28" eb="30">
      <t>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</si>
</sst>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0" fillId="0" borderId="4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center" vertical="center" readingOrder="1"/>
    </xf>
    <xf numFmtId="176" fontId="0" fillId="0" borderId="5" xfId="0" applyNumberFormat="1" applyBorder="1" applyAlignment="1">
      <alignment horizontal="right" vertical="center"/>
    </xf>
    <xf numFmtId="176" fontId="0" fillId="0" borderId="6" xfId="0" applyNumberFormat="1" applyBorder="1" applyAlignment="1">
      <alignment horizontal="right" vertical="center"/>
    </xf>
    <xf numFmtId="176" fontId="0" fillId="0" borderId="7" xfId="0" applyNumberFormat="1" applyBorder="1" applyAlignment="1">
      <alignment horizontal="right" vertical="center"/>
    </xf>
    <xf numFmtId="176" fontId="0" fillId="0" borderId="8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  <xf numFmtId="176" fontId="0" fillId="0" borderId="10" xfId="0" applyNumberFormat="1" applyBorder="1" applyAlignment="1">
      <alignment horizontal="right" vertical="center"/>
    </xf>
    <xf numFmtId="176" fontId="0" fillId="0" borderId="11" xfId="0" applyNumberFormat="1" applyBorder="1" applyAlignment="1">
      <alignment horizontal="right" vertical="center"/>
    </xf>
    <xf numFmtId="176" fontId="0" fillId="0" borderId="12" xfId="0" applyNumberFormat="1" applyBorder="1" applyAlignment="1">
      <alignment horizontal="right" vertical="center"/>
    </xf>
    <xf numFmtId="176" fontId="0" fillId="0" borderId="13" xfId="0" applyNumberFormat="1" applyBorder="1" applyAlignment="1">
      <alignment horizontal="right" vertical="center"/>
    </xf>
    <xf numFmtId="176" fontId="0" fillId="0" borderId="14" xfId="0" applyNumberFormat="1" applyBorder="1" applyAlignment="1">
      <alignment horizontal="right" vertical="center"/>
    </xf>
    <xf numFmtId="176" fontId="0" fillId="0" borderId="15" xfId="0" applyNumberFormat="1" applyBorder="1" applyAlignment="1">
      <alignment horizontal="right" vertical="center"/>
    </xf>
    <xf numFmtId="176" fontId="0" fillId="0" borderId="16" xfId="0" applyNumberFormat="1" applyBorder="1" applyAlignment="1">
      <alignment horizontal="right" vertical="center"/>
    </xf>
    <xf numFmtId="176" fontId="0" fillId="0" borderId="17" xfId="0" applyNumberFormat="1" applyBorder="1" applyAlignment="1">
      <alignment horizontal="right" vertical="center"/>
    </xf>
    <xf numFmtId="176" fontId="0" fillId="0" borderId="18" xfId="0" applyNumberFormat="1" applyBorder="1" applyAlignment="1">
      <alignment horizontal="right" vertical="center"/>
    </xf>
    <xf numFmtId="176" fontId="0" fillId="0" borderId="19" xfId="0" applyNumberFormat="1" applyBorder="1" applyAlignment="1">
      <alignment horizontal="right" vertical="center"/>
    </xf>
    <xf numFmtId="176" fontId="0" fillId="0" borderId="20" xfId="0" applyNumberFormat="1" applyBorder="1" applyAlignment="1">
      <alignment horizontal="right" vertical="center"/>
    </xf>
    <xf numFmtId="176" fontId="0" fillId="0" borderId="21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アスパラガスの小売価格の推移（東京都区部）</a:t>
            </a:r>
          </a:p>
        </c:rich>
      </c:tx>
      <c:layout>
        <c:manualLayout>
          <c:xMode val="edge"/>
          <c:yMode val="edge"/>
          <c:x val="0.34583341801485107"/>
          <c:y val="2.020213117138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58338113741595"/>
          <c:y val="0.10661482641916034"/>
          <c:w val="0.73750000000000004"/>
          <c:h val="0.73905723905723908"/>
        </c:manualLayout>
      </c:layout>
      <c:lineChart>
        <c:grouping val="standard"/>
        <c:varyColors val="0"/>
        <c:ser>
          <c:idx val="2"/>
          <c:order val="0"/>
          <c:tx>
            <c:strRef>
              <c:f>Sheet１!$U$3</c:f>
              <c:strCache>
                <c:ptCount val="1"/>
                <c:pt idx="0">
                  <c:v>2024年</c:v>
                </c:pt>
              </c:strCache>
            </c:strRef>
          </c:tx>
          <c:spPr>
            <a:ln>
              <a:solidFill>
                <a:srgbClr val="FF0000"/>
              </a:solidFill>
              <a:round/>
            </a:ln>
          </c:spPr>
          <c:marker>
            <c:symbol val="squar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val>
            <c:numRef>
              <c:f>Sheet１!$U$4:$U$15</c:f>
              <c:numCache>
                <c:formatCode>General</c:formatCode>
                <c:ptCount val="12"/>
                <c:pt idx="0">
                  <c:v>293</c:v>
                </c:pt>
                <c:pt idx="1">
                  <c:v>234</c:v>
                </c:pt>
                <c:pt idx="2">
                  <c:v>210</c:v>
                </c:pt>
                <c:pt idx="3">
                  <c:v>230</c:v>
                </c:pt>
                <c:pt idx="4">
                  <c:v>249</c:v>
                </c:pt>
                <c:pt idx="5">
                  <c:v>252</c:v>
                </c:pt>
                <c:pt idx="6">
                  <c:v>216</c:v>
                </c:pt>
                <c:pt idx="7">
                  <c:v>211</c:v>
                </c:pt>
                <c:pt idx="8">
                  <c:v>222</c:v>
                </c:pt>
                <c:pt idx="9">
                  <c:v>235</c:v>
                </c:pt>
                <c:pt idx="10">
                  <c:v>231</c:v>
                </c:pt>
                <c:pt idx="11">
                  <c:v>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DF-4738-B9B7-9446107F54F3}"/>
            </c:ext>
          </c:extLst>
        </c:ser>
        <c:ser>
          <c:idx val="0"/>
          <c:order val="1"/>
          <c:tx>
            <c:strRef>
              <c:f>Sheet１!$V$3</c:f>
              <c:strCache>
                <c:ptCount val="1"/>
                <c:pt idx="0">
                  <c:v>2025年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Sheet１!$V$4:$V$15</c:f>
              <c:numCache>
                <c:formatCode>General</c:formatCode>
                <c:ptCount val="12"/>
                <c:pt idx="0">
                  <c:v>321</c:v>
                </c:pt>
                <c:pt idx="1">
                  <c:v>255</c:v>
                </c:pt>
                <c:pt idx="2">
                  <c:v>225</c:v>
                </c:pt>
                <c:pt idx="3">
                  <c:v>251</c:v>
                </c:pt>
                <c:pt idx="4">
                  <c:v>274</c:v>
                </c:pt>
                <c:pt idx="5">
                  <c:v>261</c:v>
                </c:pt>
                <c:pt idx="6">
                  <c:v>238</c:v>
                </c:pt>
                <c:pt idx="7">
                  <c:v>209</c:v>
                </c:pt>
                <c:pt idx="8">
                  <c:v>224</c:v>
                </c:pt>
                <c:pt idx="9">
                  <c:v>242</c:v>
                </c:pt>
                <c:pt idx="10">
                  <c:v>246</c:v>
                </c:pt>
                <c:pt idx="11">
                  <c:v>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DF-4738-B9B7-9446107F54F3}"/>
            </c:ext>
          </c:extLst>
        </c:ser>
        <c:ser>
          <c:idx val="1"/>
          <c:order val="2"/>
          <c:tx>
            <c:strRef>
              <c:f>Sheet１!$W$3</c:f>
              <c:strCache>
                <c:ptCount val="1"/>
                <c:pt idx="0">
                  <c:v>2026年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val>
            <c:numRef>
              <c:f>Sheet１!$W$4:$W$15</c:f>
              <c:numCache>
                <c:formatCode>0_);[Red]\(0\)</c:formatCode>
                <c:ptCount val="12"/>
                <c:pt idx="0">
                  <c:v>285</c:v>
                </c:pt>
                <c:pt idx="1">
                  <c:v>250</c:v>
                </c:pt>
                <c:pt idx="2">
                  <c:v>248</c:v>
                </c:pt>
                <c:pt idx="3">
                  <c:v>270</c:v>
                </c:pt>
                <c:pt idx="4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DF-4738-B9B7-9446107F54F3}"/>
            </c:ext>
          </c:extLst>
        </c:ser>
        <c:ser>
          <c:idx val="3"/>
          <c:order val="3"/>
          <c:tx>
            <c:strRef>
              <c:f>Sheet１!$X$3</c:f>
              <c:strCache>
                <c:ptCount val="1"/>
                <c:pt idx="0">
                  <c:v>平年値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diamond"/>
            <c:size val="7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dPt>
            <c:idx val="9"/>
            <c:bubble3D val="0"/>
            <c:spPr>
              <a:ln>
                <a:solidFill>
                  <a:srgbClr val="92D050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4-B8DF-4738-B9B7-9446107F54F3}"/>
              </c:ext>
            </c:extLst>
          </c:dPt>
          <c:val>
            <c:numRef>
              <c:f>Sheet１!$X$4:$X$15</c:f>
              <c:numCache>
                <c:formatCode>General</c:formatCode>
                <c:ptCount val="12"/>
                <c:pt idx="0">
                  <c:v>259.60000000000002</c:v>
                </c:pt>
                <c:pt idx="1">
                  <c:v>211.6</c:v>
                </c:pt>
                <c:pt idx="2">
                  <c:v>202.6</c:v>
                </c:pt>
                <c:pt idx="3">
                  <c:v>215.8</c:v>
                </c:pt>
                <c:pt idx="4">
                  <c:v>240.6</c:v>
                </c:pt>
                <c:pt idx="5">
                  <c:v>231.2</c:v>
                </c:pt>
                <c:pt idx="6">
                  <c:v>207.21999999999997</c:v>
                </c:pt>
                <c:pt idx="7">
                  <c:v>191.72</c:v>
                </c:pt>
                <c:pt idx="8">
                  <c:v>210.98000000000002</c:v>
                </c:pt>
                <c:pt idx="9">
                  <c:v>210.4</c:v>
                </c:pt>
                <c:pt idx="10">
                  <c:v>215.08</c:v>
                </c:pt>
                <c:pt idx="11">
                  <c:v>235.06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DF-4738-B9B7-9446107F5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341408"/>
        <c:axId val="1"/>
      </c:lineChart>
      <c:catAx>
        <c:axId val="467341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（月）</a:t>
                </a:r>
              </a:p>
            </c:rich>
          </c:tx>
          <c:layout>
            <c:manualLayout>
              <c:xMode val="edge"/>
              <c:yMode val="edge"/>
              <c:x val="0.85937492146472139"/>
              <c:y val="0.867003345227119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（円/100g）</a:t>
                </a:r>
              </a:p>
            </c:rich>
          </c:tx>
          <c:layout>
            <c:manualLayout>
              <c:xMode val="edge"/>
              <c:yMode val="edge"/>
              <c:x val="0"/>
              <c:y val="0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67341408"/>
        <c:crosses val="autoZero"/>
        <c:crossBetween val="between"/>
        <c:majorUnit val="50"/>
      </c:valAx>
      <c:spPr>
        <a:solidFill>
          <a:schemeClr val="accent5">
            <a:lumMod val="20000"/>
            <a:lumOff val="80000"/>
          </a:schemeClr>
        </a:solidFill>
        <a:ln w="3175" cap="rnd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olid"/>
        </a:ln>
      </c:spPr>
    </c:plotArea>
    <c:legend>
      <c:legendPos val="r"/>
      <c:layout>
        <c:manualLayout>
          <c:xMode val="edge"/>
          <c:yMode val="edge"/>
          <c:x val="0.88124996039090298"/>
          <c:y val="0.32377737255701761"/>
          <c:w val="8.75000464382516E-2"/>
          <c:h val="0.15008426414305992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aph1"/>
  <sheetViews>
    <sheetView tabSelected="1" workbookViewId="0"/>
  </sheetViews>
  <pageMargins left="0.78700000000000003" right="0.78700000000000003" top="0.98399999999999999" bottom="0.98399999999999999" header="0.51200000000000001" footer="0.51200000000000001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586380E-4B70-4D8C-9747-0BD1086946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X18"/>
  <sheetViews>
    <sheetView workbookViewId="0">
      <selection activeCell="W8" sqref="W8"/>
    </sheetView>
  </sheetViews>
  <sheetFormatPr defaultRowHeight="15" customHeight="1" x14ac:dyDescent="0.2"/>
  <cols>
    <col min="2" max="2" width="9.44140625" customWidth="1"/>
    <col min="3" max="10" width="9.6640625" hidden="1" customWidth="1"/>
    <col min="11" max="24" width="9.6640625" customWidth="1"/>
  </cols>
  <sheetData>
    <row r="2" spans="2:24" ht="15" customHeight="1" x14ac:dyDescent="0.2">
      <c r="B2" t="s">
        <v>16</v>
      </c>
      <c r="X2" s="8" t="s">
        <v>17</v>
      </c>
    </row>
    <row r="3" spans="2:24" ht="15" customHeight="1" x14ac:dyDescent="0.2">
      <c r="B3" s="1"/>
      <c r="C3" s="2" t="s">
        <v>12</v>
      </c>
      <c r="D3" s="2" t="s">
        <v>13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18</v>
      </c>
      <c r="Q3" s="2" t="s">
        <v>30</v>
      </c>
      <c r="R3" s="2" t="s">
        <v>31</v>
      </c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15</v>
      </c>
    </row>
    <row r="4" spans="2:24" ht="15" customHeight="1" x14ac:dyDescent="0.2">
      <c r="B4" s="4" t="s">
        <v>0</v>
      </c>
      <c r="C4" s="4">
        <v>189</v>
      </c>
      <c r="D4" s="4">
        <v>194</v>
      </c>
      <c r="E4" s="4">
        <v>220</v>
      </c>
      <c r="F4" s="4">
        <v>204</v>
      </c>
      <c r="G4" s="4">
        <v>175</v>
      </c>
      <c r="H4" s="4">
        <v>171</v>
      </c>
      <c r="I4" s="4">
        <v>176</v>
      </c>
      <c r="J4" s="4">
        <v>206</v>
      </c>
      <c r="K4" s="4">
        <v>202</v>
      </c>
      <c r="L4" s="4">
        <v>233.9</v>
      </c>
      <c r="M4" s="9">
        <v>252.3</v>
      </c>
      <c r="N4" s="11">
        <v>211.2</v>
      </c>
      <c r="O4" s="12">
        <v>230.3</v>
      </c>
      <c r="P4" s="13">
        <v>219</v>
      </c>
      <c r="Q4" s="20">
        <v>217</v>
      </c>
      <c r="R4" s="20">
        <v>216</v>
      </c>
      <c r="S4" s="20">
        <v>222</v>
      </c>
      <c r="T4" s="20">
        <v>246</v>
      </c>
      <c r="U4" s="20">
        <v>293</v>
      </c>
      <c r="V4" s="20">
        <v>321</v>
      </c>
      <c r="W4" s="20">
        <v>285</v>
      </c>
      <c r="X4" s="25">
        <f>AVERAGE(R4:V4)</f>
        <v>259.60000000000002</v>
      </c>
    </row>
    <row r="5" spans="2:24" ht="15" customHeight="1" x14ac:dyDescent="0.2">
      <c r="B5" s="5" t="s">
        <v>1</v>
      </c>
      <c r="C5" s="5">
        <v>157</v>
      </c>
      <c r="D5" s="5">
        <v>157</v>
      </c>
      <c r="E5" s="5">
        <v>180</v>
      </c>
      <c r="F5" s="5">
        <v>166</v>
      </c>
      <c r="G5" s="5">
        <v>144</v>
      </c>
      <c r="H5" s="5">
        <v>140</v>
      </c>
      <c r="I5" s="5">
        <v>129</v>
      </c>
      <c r="J5" s="5">
        <v>159</v>
      </c>
      <c r="K5" s="5">
        <v>157</v>
      </c>
      <c r="L5" s="5">
        <v>195.6</v>
      </c>
      <c r="M5" s="5">
        <v>203.9</v>
      </c>
      <c r="N5" s="14">
        <v>174.9</v>
      </c>
      <c r="O5" s="15">
        <v>161</v>
      </c>
      <c r="P5" s="16">
        <v>177</v>
      </c>
      <c r="Q5" s="21">
        <v>196</v>
      </c>
      <c r="R5" s="21">
        <v>177</v>
      </c>
      <c r="S5" s="23">
        <v>189</v>
      </c>
      <c r="T5" s="23">
        <v>203</v>
      </c>
      <c r="U5" s="23">
        <v>234</v>
      </c>
      <c r="V5" s="23">
        <v>255</v>
      </c>
      <c r="W5" s="23">
        <v>250</v>
      </c>
      <c r="X5" s="5">
        <f t="shared" ref="X5:X16" si="0">AVERAGE(R5:V5)</f>
        <v>211.6</v>
      </c>
    </row>
    <row r="6" spans="2:24" ht="15" customHeight="1" x14ac:dyDescent="0.2">
      <c r="B6" s="5" t="s">
        <v>2</v>
      </c>
      <c r="C6" s="5">
        <v>167</v>
      </c>
      <c r="D6" s="5">
        <v>160</v>
      </c>
      <c r="E6" s="5">
        <v>168</v>
      </c>
      <c r="F6" s="5">
        <v>147</v>
      </c>
      <c r="G6" s="5">
        <v>137</v>
      </c>
      <c r="H6" s="5">
        <v>140</v>
      </c>
      <c r="I6" s="5">
        <v>143</v>
      </c>
      <c r="J6" s="5">
        <v>152</v>
      </c>
      <c r="K6" s="5">
        <v>143.80000000000001</v>
      </c>
      <c r="L6" s="5">
        <v>181.7</v>
      </c>
      <c r="M6" s="5">
        <v>175.5</v>
      </c>
      <c r="N6" s="14">
        <v>162</v>
      </c>
      <c r="O6" s="15">
        <v>172</v>
      </c>
      <c r="P6" s="16">
        <v>183</v>
      </c>
      <c r="Q6" s="21">
        <v>181</v>
      </c>
      <c r="R6" s="21">
        <v>174</v>
      </c>
      <c r="S6" s="23">
        <v>187</v>
      </c>
      <c r="T6" s="23">
        <v>217</v>
      </c>
      <c r="U6" s="23">
        <v>210</v>
      </c>
      <c r="V6" s="23">
        <v>225</v>
      </c>
      <c r="W6" s="23">
        <v>248</v>
      </c>
      <c r="X6" s="5">
        <f t="shared" si="0"/>
        <v>202.6</v>
      </c>
    </row>
    <row r="7" spans="2:24" ht="15" customHeight="1" x14ac:dyDescent="0.2">
      <c r="B7" s="5" t="s">
        <v>3</v>
      </c>
      <c r="C7" s="5">
        <v>173</v>
      </c>
      <c r="D7" s="5">
        <v>179</v>
      </c>
      <c r="E7" s="5">
        <v>185</v>
      </c>
      <c r="F7" s="5">
        <v>174</v>
      </c>
      <c r="G7" s="5">
        <v>167</v>
      </c>
      <c r="H7" s="5">
        <v>171</v>
      </c>
      <c r="I7" s="5">
        <v>159</v>
      </c>
      <c r="J7" s="5">
        <v>171</v>
      </c>
      <c r="K7" s="5">
        <v>176.5</v>
      </c>
      <c r="L7" s="5">
        <v>211.4</v>
      </c>
      <c r="M7" s="5">
        <v>188.6</v>
      </c>
      <c r="N7" s="14">
        <v>191</v>
      </c>
      <c r="O7" s="15">
        <v>188</v>
      </c>
      <c r="P7" s="16">
        <v>193</v>
      </c>
      <c r="Q7" s="21">
        <v>190</v>
      </c>
      <c r="R7" s="21">
        <v>190</v>
      </c>
      <c r="S7" s="23">
        <v>190</v>
      </c>
      <c r="T7" s="23">
        <v>218</v>
      </c>
      <c r="U7" s="23">
        <v>230</v>
      </c>
      <c r="V7" s="23">
        <v>251</v>
      </c>
      <c r="W7" s="23">
        <v>270</v>
      </c>
      <c r="X7" s="5">
        <f t="shared" si="0"/>
        <v>215.8</v>
      </c>
    </row>
    <row r="8" spans="2:24" ht="15" customHeight="1" x14ac:dyDescent="0.2">
      <c r="B8" s="5" t="s">
        <v>4</v>
      </c>
      <c r="C8" s="5">
        <v>178</v>
      </c>
      <c r="D8" s="5">
        <v>179</v>
      </c>
      <c r="E8" s="5">
        <v>158</v>
      </c>
      <c r="F8" s="5">
        <v>162</v>
      </c>
      <c r="G8" s="5">
        <v>178</v>
      </c>
      <c r="H8" s="5">
        <v>173</v>
      </c>
      <c r="I8" s="5">
        <v>175</v>
      </c>
      <c r="J8" s="5">
        <v>178</v>
      </c>
      <c r="K8" s="5">
        <v>184.2</v>
      </c>
      <c r="L8" s="5">
        <v>184</v>
      </c>
      <c r="M8" s="5">
        <v>192.7</v>
      </c>
      <c r="N8" s="14">
        <v>213</v>
      </c>
      <c r="O8" s="15">
        <v>209</v>
      </c>
      <c r="P8" s="16">
        <v>207</v>
      </c>
      <c r="Q8" s="21">
        <v>207</v>
      </c>
      <c r="R8" s="21">
        <v>211</v>
      </c>
      <c r="S8" s="23">
        <v>226</v>
      </c>
      <c r="T8" s="23">
        <v>243</v>
      </c>
      <c r="U8" s="23">
        <v>249</v>
      </c>
      <c r="V8" s="23">
        <v>274</v>
      </c>
      <c r="W8" s="23">
        <v>276</v>
      </c>
      <c r="X8" s="5">
        <f t="shared" si="0"/>
        <v>240.6</v>
      </c>
    </row>
    <row r="9" spans="2:24" ht="15" customHeight="1" x14ac:dyDescent="0.2">
      <c r="B9" s="5" t="s">
        <v>5</v>
      </c>
      <c r="C9" s="5">
        <v>152</v>
      </c>
      <c r="D9" s="5">
        <v>160</v>
      </c>
      <c r="E9" s="5">
        <v>162</v>
      </c>
      <c r="F9" s="5">
        <v>147</v>
      </c>
      <c r="G9" s="5">
        <v>156</v>
      </c>
      <c r="H9" s="5">
        <v>162</v>
      </c>
      <c r="I9" s="5">
        <v>163</v>
      </c>
      <c r="J9" s="5">
        <v>152</v>
      </c>
      <c r="K9" s="5">
        <v>182.6</v>
      </c>
      <c r="L9" s="5">
        <v>189.2</v>
      </c>
      <c r="M9" s="5">
        <v>208.2</v>
      </c>
      <c r="N9" s="14">
        <v>218.1</v>
      </c>
      <c r="O9" s="15">
        <v>210</v>
      </c>
      <c r="P9" s="16">
        <v>193</v>
      </c>
      <c r="Q9" s="21">
        <v>187</v>
      </c>
      <c r="R9" s="21">
        <v>206</v>
      </c>
      <c r="S9" s="23">
        <v>217</v>
      </c>
      <c r="T9" s="23">
        <v>220</v>
      </c>
      <c r="U9" s="23">
        <v>252</v>
      </c>
      <c r="V9" s="23">
        <v>261</v>
      </c>
      <c r="W9" s="23"/>
      <c r="X9" s="5">
        <f t="shared" si="0"/>
        <v>231.2</v>
      </c>
    </row>
    <row r="10" spans="2:24" ht="15" customHeight="1" x14ac:dyDescent="0.2">
      <c r="B10" s="5" t="s">
        <v>6</v>
      </c>
      <c r="C10" s="5">
        <v>171</v>
      </c>
      <c r="D10" s="5">
        <v>163</v>
      </c>
      <c r="E10" s="5">
        <v>164</v>
      </c>
      <c r="F10" s="5">
        <v>155</v>
      </c>
      <c r="G10" s="5">
        <v>162</v>
      </c>
      <c r="H10" s="5">
        <v>179</v>
      </c>
      <c r="I10" s="5">
        <v>177</v>
      </c>
      <c r="J10" s="5">
        <v>178</v>
      </c>
      <c r="K10" s="5">
        <v>187.7</v>
      </c>
      <c r="L10" s="5">
        <v>192.3</v>
      </c>
      <c r="M10" s="5">
        <v>192.4</v>
      </c>
      <c r="N10" s="14">
        <v>201.6</v>
      </c>
      <c r="O10" s="15">
        <v>193</v>
      </c>
      <c r="P10" s="16">
        <v>191</v>
      </c>
      <c r="Q10" s="21">
        <v>189</v>
      </c>
      <c r="R10" s="21">
        <v>182</v>
      </c>
      <c r="S10" s="23">
        <v>196</v>
      </c>
      <c r="T10" s="23">
        <v>204.1</v>
      </c>
      <c r="U10" s="23">
        <v>216</v>
      </c>
      <c r="V10" s="23">
        <v>238</v>
      </c>
      <c r="W10" s="23"/>
      <c r="X10" s="5">
        <f t="shared" si="0"/>
        <v>207.21999999999997</v>
      </c>
    </row>
    <row r="11" spans="2:24" ht="15" customHeight="1" x14ac:dyDescent="0.2">
      <c r="B11" s="5" t="s">
        <v>7</v>
      </c>
      <c r="C11" s="5">
        <v>144</v>
      </c>
      <c r="D11" s="5">
        <v>166</v>
      </c>
      <c r="E11" s="5">
        <v>128</v>
      </c>
      <c r="F11" s="5">
        <v>141</v>
      </c>
      <c r="G11" s="5">
        <v>150</v>
      </c>
      <c r="H11" s="5">
        <v>152</v>
      </c>
      <c r="I11" s="5">
        <v>146</v>
      </c>
      <c r="J11" s="5">
        <v>148</v>
      </c>
      <c r="K11" s="5">
        <v>151.80000000000001</v>
      </c>
      <c r="L11" s="5">
        <v>170.5</v>
      </c>
      <c r="M11" s="5">
        <v>171.9</v>
      </c>
      <c r="N11" s="14">
        <v>162</v>
      </c>
      <c r="O11" s="15">
        <v>182</v>
      </c>
      <c r="P11" s="16">
        <v>167</v>
      </c>
      <c r="Q11" s="21">
        <v>187</v>
      </c>
      <c r="R11" s="21">
        <v>165</v>
      </c>
      <c r="S11" s="23">
        <v>183</v>
      </c>
      <c r="T11" s="23">
        <v>190.6</v>
      </c>
      <c r="U11" s="23">
        <v>211</v>
      </c>
      <c r="V11" s="23">
        <v>209</v>
      </c>
      <c r="W11" s="23"/>
      <c r="X11" s="5">
        <f t="shared" si="0"/>
        <v>191.72</v>
      </c>
    </row>
    <row r="12" spans="2:24" ht="15" customHeight="1" x14ac:dyDescent="0.2">
      <c r="B12" s="5" t="s">
        <v>8</v>
      </c>
      <c r="C12" s="5">
        <v>151</v>
      </c>
      <c r="D12" s="5">
        <v>162</v>
      </c>
      <c r="E12" s="5">
        <v>152</v>
      </c>
      <c r="F12" s="5">
        <v>158</v>
      </c>
      <c r="G12" s="5">
        <v>172</v>
      </c>
      <c r="H12" s="5">
        <v>159</v>
      </c>
      <c r="I12" s="5">
        <v>152</v>
      </c>
      <c r="J12" s="5">
        <v>165</v>
      </c>
      <c r="K12" s="5">
        <v>182.6</v>
      </c>
      <c r="L12" s="5">
        <v>179.1</v>
      </c>
      <c r="M12" s="5">
        <v>179.5</v>
      </c>
      <c r="N12" s="14">
        <v>194</v>
      </c>
      <c r="O12" s="15">
        <v>195</v>
      </c>
      <c r="P12" s="16">
        <v>174</v>
      </c>
      <c r="Q12" s="21">
        <v>194</v>
      </c>
      <c r="R12" s="21">
        <v>189</v>
      </c>
      <c r="S12" s="23">
        <v>197</v>
      </c>
      <c r="T12" s="23">
        <v>222.9</v>
      </c>
      <c r="U12" s="23">
        <v>222</v>
      </c>
      <c r="V12" s="23">
        <v>224</v>
      </c>
      <c r="W12" s="23"/>
      <c r="X12" s="5">
        <f t="shared" si="0"/>
        <v>210.98000000000002</v>
      </c>
    </row>
    <row r="13" spans="2:24" ht="15" customHeight="1" x14ac:dyDescent="0.2">
      <c r="B13" s="5" t="s">
        <v>9</v>
      </c>
      <c r="C13" s="5">
        <v>141</v>
      </c>
      <c r="D13" s="5">
        <v>137</v>
      </c>
      <c r="E13" s="5">
        <v>161</v>
      </c>
      <c r="F13" s="5">
        <v>144</v>
      </c>
      <c r="G13" s="5">
        <v>155</v>
      </c>
      <c r="H13" s="5">
        <v>152</v>
      </c>
      <c r="I13" s="5">
        <v>142</v>
      </c>
      <c r="J13" s="5">
        <v>164</v>
      </c>
      <c r="K13" s="5">
        <v>178.6</v>
      </c>
      <c r="L13" s="5">
        <v>165.4</v>
      </c>
      <c r="M13" s="5">
        <v>166.8</v>
      </c>
      <c r="N13" s="14">
        <v>173.8</v>
      </c>
      <c r="O13" s="15">
        <v>182</v>
      </c>
      <c r="P13" s="16">
        <v>179</v>
      </c>
      <c r="Q13" s="21">
        <v>159</v>
      </c>
      <c r="R13" s="21">
        <v>178</v>
      </c>
      <c r="S13" s="23">
        <v>186</v>
      </c>
      <c r="T13" s="23">
        <v>211</v>
      </c>
      <c r="U13" s="23">
        <v>235</v>
      </c>
      <c r="V13" s="23">
        <v>242</v>
      </c>
      <c r="W13" s="23"/>
      <c r="X13" s="5">
        <f t="shared" si="0"/>
        <v>210.4</v>
      </c>
    </row>
    <row r="14" spans="2:24" ht="15" customHeight="1" x14ac:dyDescent="0.2">
      <c r="B14" s="5" t="s">
        <v>10</v>
      </c>
      <c r="C14" s="5">
        <v>134</v>
      </c>
      <c r="D14" s="5">
        <v>137</v>
      </c>
      <c r="E14" s="5">
        <v>146</v>
      </c>
      <c r="F14" s="5">
        <v>137</v>
      </c>
      <c r="G14" s="5">
        <v>140</v>
      </c>
      <c r="H14" s="5">
        <v>140</v>
      </c>
      <c r="I14" s="5">
        <v>139</v>
      </c>
      <c r="J14" s="5">
        <v>165</v>
      </c>
      <c r="K14" s="5">
        <v>176.3</v>
      </c>
      <c r="L14" s="5">
        <v>169.3</v>
      </c>
      <c r="M14" s="5">
        <v>164.2</v>
      </c>
      <c r="N14" s="14">
        <v>165.4</v>
      </c>
      <c r="O14" s="15">
        <v>158</v>
      </c>
      <c r="P14" s="16">
        <v>162.6</v>
      </c>
      <c r="Q14" s="21">
        <v>157</v>
      </c>
      <c r="R14" s="21">
        <v>151</v>
      </c>
      <c r="S14" s="23">
        <v>211</v>
      </c>
      <c r="T14" s="23">
        <v>236.4</v>
      </c>
      <c r="U14" s="23">
        <v>231</v>
      </c>
      <c r="V14" s="23">
        <v>246</v>
      </c>
      <c r="W14" s="23"/>
      <c r="X14" s="5">
        <f t="shared" si="0"/>
        <v>215.08</v>
      </c>
    </row>
    <row r="15" spans="2:24" ht="15" customHeight="1" x14ac:dyDescent="0.2">
      <c r="B15" s="6" t="s">
        <v>11</v>
      </c>
      <c r="C15" s="6">
        <v>158</v>
      </c>
      <c r="D15" s="6">
        <v>165</v>
      </c>
      <c r="E15" s="4">
        <v>170</v>
      </c>
      <c r="F15" s="4">
        <v>155</v>
      </c>
      <c r="G15" s="4">
        <v>153</v>
      </c>
      <c r="H15" s="4">
        <v>157</v>
      </c>
      <c r="I15" s="4">
        <v>159</v>
      </c>
      <c r="J15" s="4">
        <v>192</v>
      </c>
      <c r="K15" s="4">
        <v>202.7</v>
      </c>
      <c r="L15" s="4">
        <v>202.5</v>
      </c>
      <c r="M15" s="10">
        <v>181.3</v>
      </c>
      <c r="N15" s="17">
        <v>206.9</v>
      </c>
      <c r="O15" s="18">
        <v>182</v>
      </c>
      <c r="P15" s="19">
        <v>176</v>
      </c>
      <c r="Q15" s="22">
        <v>162</v>
      </c>
      <c r="R15" s="22">
        <v>176</v>
      </c>
      <c r="S15" s="24">
        <v>236</v>
      </c>
      <c r="T15" s="24">
        <v>238.3</v>
      </c>
      <c r="U15" s="24">
        <v>258</v>
      </c>
      <c r="V15" s="24">
        <v>267</v>
      </c>
      <c r="W15" s="24"/>
      <c r="X15" s="23">
        <f t="shared" si="0"/>
        <v>235.06</v>
      </c>
    </row>
    <row r="16" spans="2:24" ht="15" customHeight="1" x14ac:dyDescent="0.2">
      <c r="B16" s="7" t="s">
        <v>14</v>
      </c>
      <c r="C16" s="7">
        <f>AVERAGE(C4:C15)</f>
        <v>159.58333333333334</v>
      </c>
      <c r="D16" s="7">
        <f>AVERAGE(D4:D15)</f>
        <v>163.25</v>
      </c>
      <c r="E16" s="7">
        <f>AVERAGE(E4:E15)</f>
        <v>166.16666666666666</v>
      </c>
      <c r="F16" s="7">
        <f t="shared" ref="F16:K16" si="1">AVERAGE(F4:F15)</f>
        <v>157.5</v>
      </c>
      <c r="G16" s="7">
        <f t="shared" si="1"/>
        <v>157.41666666666666</v>
      </c>
      <c r="H16" s="7">
        <f>AVERAGE(H4:H15)</f>
        <v>158</v>
      </c>
      <c r="I16" s="7">
        <f t="shared" si="1"/>
        <v>155</v>
      </c>
      <c r="J16" s="7">
        <f>AVERAGE(J4:J15)</f>
        <v>169.16666666666666</v>
      </c>
      <c r="K16" s="7">
        <f t="shared" si="1"/>
        <v>177.14999999999998</v>
      </c>
      <c r="L16" s="7">
        <f t="shared" ref="L16:R16" si="2">AVERAGE(L4:L15)</f>
        <v>189.57500000000002</v>
      </c>
      <c r="M16" s="7">
        <f t="shared" si="2"/>
        <v>189.77500000000001</v>
      </c>
      <c r="N16" s="7">
        <f t="shared" si="2"/>
        <v>189.49166666666667</v>
      </c>
      <c r="O16" s="7">
        <f t="shared" si="2"/>
        <v>188.52500000000001</v>
      </c>
      <c r="P16" s="7">
        <f t="shared" si="2"/>
        <v>185.13333333333333</v>
      </c>
      <c r="Q16" s="7">
        <f t="shared" si="2"/>
        <v>185.5</v>
      </c>
      <c r="R16" s="7">
        <f t="shared" si="2"/>
        <v>184.58333333333334</v>
      </c>
      <c r="S16" s="7">
        <f>AVERAGE(S4:S15)</f>
        <v>203.33333333333334</v>
      </c>
      <c r="T16" s="7">
        <f>IFERROR(AVERAGE(T4:T15),"")</f>
        <v>220.85833333333335</v>
      </c>
      <c r="U16" s="7">
        <f>IFERROR(AVERAGE(U4:U15),"")</f>
        <v>236.75</v>
      </c>
      <c r="V16" s="7">
        <f>IFERROR(AVERAGE(V4:V15),"")</f>
        <v>251.08333333333334</v>
      </c>
      <c r="W16" s="7">
        <f>IFERROR(AVERAGE(W4:W15),"")</f>
        <v>265.8</v>
      </c>
      <c r="X16" s="7">
        <f t="shared" si="0"/>
        <v>219.32166666666666</v>
      </c>
    </row>
    <row r="18" spans="2:2" ht="15" customHeight="1" x14ac:dyDescent="0.2">
      <c r="B18" s="3" t="s">
        <v>37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Sheet１</vt:lpstr>
      <vt:lpstr>Graph</vt:lpstr>
    </vt:vector>
  </TitlesOfParts>
  <Company>alic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ベジ探</cp:lastModifiedBy>
  <cp:lastPrinted>2007-04-18T05:00:56Z</cp:lastPrinted>
  <dcterms:created xsi:type="dcterms:W3CDTF">2007-03-20T10:21:47Z</dcterms:created>
  <dcterms:modified xsi:type="dcterms:W3CDTF">2026-06-26T00:30:20Z</dcterms:modified>
</cp:coreProperties>
</file>