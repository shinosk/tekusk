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ベジ探ホームページコンテンツ\ベジ探データ\総務省小売\小売マスターファイル\yasaikouri\"/>
    </mc:Choice>
  </mc:AlternateContent>
  <xr:revisionPtr revIDLastSave="0" documentId="13_ncr:1_{EFAD57DE-CD78-4BB4-A316-4492E4D9E68E}" xr6:coauthVersionLast="47" xr6:coauthVersionMax="47" xr10:uidLastSave="{00000000-0000-0000-0000-000000000000}"/>
  <bookViews>
    <workbookView xWindow="1680" yWindow="528" windowWidth="19056" windowHeight="11556" xr2:uid="{00000000-000D-0000-FFFF-FFFF00000000}"/>
  </bookViews>
  <sheets>
    <sheet name="Graph" sheetId="7" r:id="rId1"/>
    <sheet name="Sheet１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" i="5" l="1"/>
  <c r="X6" i="5"/>
  <c r="X7" i="5"/>
  <c r="X8" i="5"/>
  <c r="X9" i="5"/>
  <c r="X10" i="5"/>
  <c r="X11" i="5"/>
  <c r="X12" i="5"/>
  <c r="X13" i="5"/>
  <c r="X14" i="5"/>
  <c r="X15" i="5"/>
  <c r="X16" i="5"/>
  <c r="X4" i="5"/>
  <c r="W16" i="5"/>
  <c r="V16" i="5"/>
  <c r="U16" i="5" l="1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C16" i="5"/>
  <c r="D16" i="5"/>
  <c r="E16" i="5"/>
</calcChain>
</file>

<file path=xl/sharedStrings.xml><?xml version="1.0" encoding="utf-8"?>
<sst xmlns="http://schemas.openxmlformats.org/spreadsheetml/2006/main" count="38" uniqueCount="38">
  <si>
    <t>1月</t>
    <rPh sb="1" eb="2">
      <t>ガツ</t>
    </rPh>
    <phoneticPr fontId="1"/>
  </si>
  <si>
    <t>2月</t>
    <rPh sb="1" eb="2">
      <t>ガツ</t>
    </rPh>
    <phoneticPr fontId="1"/>
  </si>
  <si>
    <t>3月</t>
    <rPh sb="1" eb="2">
      <t>ガツ</t>
    </rPh>
    <phoneticPr fontId="1"/>
  </si>
  <si>
    <t>4月</t>
    <rPh sb="1" eb="2">
      <t>ガツ</t>
    </rPh>
    <phoneticPr fontId="1"/>
  </si>
  <si>
    <t>5月</t>
    <rPh sb="1" eb="2">
      <t>ガツ</t>
    </rPh>
    <phoneticPr fontId="1"/>
  </si>
  <si>
    <t>6月</t>
    <rPh sb="1" eb="2">
      <t>ガツ</t>
    </rPh>
    <phoneticPr fontId="1"/>
  </si>
  <si>
    <t>7月</t>
    <rPh sb="1" eb="2">
      <t>ガツ</t>
    </rPh>
    <phoneticPr fontId="1"/>
  </si>
  <si>
    <t>8月</t>
    <rPh sb="1" eb="2">
      <t>ガツ</t>
    </rPh>
    <phoneticPr fontId="1"/>
  </si>
  <si>
    <t>9月</t>
    <rPh sb="1" eb="2">
      <t>ガツ</t>
    </rPh>
    <phoneticPr fontId="1"/>
  </si>
  <si>
    <t>10月</t>
    <rPh sb="2" eb="3">
      <t>ガツ</t>
    </rPh>
    <phoneticPr fontId="1"/>
  </si>
  <si>
    <t>11月</t>
    <rPh sb="2" eb="3">
      <t>ガツ</t>
    </rPh>
    <phoneticPr fontId="1"/>
  </si>
  <si>
    <t>12月</t>
    <rPh sb="2" eb="3">
      <t>ガツ</t>
    </rPh>
    <phoneticPr fontId="1"/>
  </si>
  <si>
    <t>平成17年</t>
    <rPh sb="0" eb="2">
      <t>ヘイセイ</t>
    </rPh>
    <rPh sb="4" eb="5">
      <t>ネン</t>
    </rPh>
    <phoneticPr fontId="1"/>
  </si>
  <si>
    <t>平成18年</t>
    <rPh sb="0" eb="2">
      <t>ヘイセイ</t>
    </rPh>
    <rPh sb="4" eb="5">
      <t>ネン</t>
    </rPh>
    <phoneticPr fontId="1"/>
  </si>
  <si>
    <t>年平均値</t>
    <rPh sb="0" eb="1">
      <t>ネン</t>
    </rPh>
    <rPh sb="1" eb="3">
      <t>ヘイキン</t>
    </rPh>
    <rPh sb="3" eb="4">
      <t>チ</t>
    </rPh>
    <phoneticPr fontId="1"/>
  </si>
  <si>
    <t>平年値</t>
    <rPh sb="0" eb="2">
      <t>ヘイネン</t>
    </rPh>
    <rPh sb="2" eb="3">
      <t>チ</t>
    </rPh>
    <phoneticPr fontId="1"/>
  </si>
  <si>
    <t>たまねぎ</t>
    <phoneticPr fontId="1"/>
  </si>
  <si>
    <t>（単位：円/kg）</t>
    <rPh sb="1" eb="3">
      <t>タンイ</t>
    </rPh>
    <rPh sb="4" eb="5">
      <t>エン</t>
    </rPh>
    <phoneticPr fontId="1"/>
  </si>
  <si>
    <t>2008年</t>
    <rPh sb="4" eb="5">
      <t>ネン</t>
    </rPh>
    <phoneticPr fontId="1"/>
  </si>
  <si>
    <t>2009年</t>
    <rPh sb="4" eb="5">
      <t>ネン</t>
    </rPh>
    <phoneticPr fontId="1"/>
  </si>
  <si>
    <t>2010年</t>
    <rPh sb="4" eb="5">
      <t>ネン</t>
    </rPh>
    <phoneticPr fontId="1"/>
  </si>
  <si>
    <t>2011年</t>
    <rPh sb="4" eb="5">
      <t>ネン</t>
    </rPh>
    <phoneticPr fontId="1"/>
  </si>
  <si>
    <t>2012年</t>
    <rPh sb="4" eb="5">
      <t>ネン</t>
    </rPh>
    <phoneticPr fontId="1"/>
  </si>
  <si>
    <t>2013年</t>
    <rPh sb="4" eb="5">
      <t>ネン</t>
    </rPh>
    <phoneticPr fontId="1"/>
  </si>
  <si>
    <t>2014年</t>
    <rPh sb="4" eb="5">
      <t>ネン</t>
    </rPh>
    <phoneticPr fontId="1"/>
  </si>
  <si>
    <t>2015年</t>
    <rPh sb="4" eb="5">
      <t>ネン</t>
    </rPh>
    <phoneticPr fontId="1"/>
  </si>
  <si>
    <t>2016年</t>
    <rPh sb="4" eb="5">
      <t>ネン</t>
    </rPh>
    <phoneticPr fontId="1"/>
  </si>
  <si>
    <t>2017年</t>
    <rPh sb="4" eb="5">
      <t>ネン</t>
    </rPh>
    <phoneticPr fontId="1"/>
  </si>
  <si>
    <t>2018年</t>
    <rPh sb="4" eb="5">
      <t>ネン</t>
    </rPh>
    <phoneticPr fontId="1"/>
  </si>
  <si>
    <t>2019年</t>
    <rPh sb="4" eb="5">
      <t>ネン</t>
    </rPh>
    <phoneticPr fontId="1"/>
  </si>
  <si>
    <t>2020年</t>
    <rPh sb="4" eb="5">
      <t>ネン</t>
    </rPh>
    <phoneticPr fontId="1"/>
  </si>
  <si>
    <t>2021年</t>
    <rPh sb="4" eb="5">
      <t>ネン</t>
    </rPh>
    <phoneticPr fontId="1"/>
  </si>
  <si>
    <t>2022年</t>
    <rPh sb="4" eb="5">
      <t>ネン</t>
    </rPh>
    <phoneticPr fontId="1"/>
  </si>
  <si>
    <t>2023年</t>
    <rPh sb="4" eb="5">
      <t>ネン</t>
    </rPh>
    <phoneticPr fontId="1"/>
  </si>
  <si>
    <t>2024年</t>
    <rPh sb="4" eb="5">
      <t>ネン</t>
    </rPh>
    <phoneticPr fontId="1"/>
  </si>
  <si>
    <t>2025年</t>
    <rPh sb="4" eb="5">
      <t>ネン</t>
    </rPh>
    <phoneticPr fontId="1"/>
  </si>
  <si>
    <t>2026年</t>
    <rPh sb="4" eb="5">
      <t>ネン</t>
    </rPh>
    <phoneticPr fontId="1"/>
  </si>
  <si>
    <t xml:space="preserve"> 注： 平年値とは、過去5ヵ年（2021～2025年）の小売価格の平均値である。</t>
    <rPh sb="6" eb="7">
      <t>チ</t>
    </rPh>
    <rPh sb="25" eb="26">
      <t>ネン</t>
    </rPh>
    <rPh sb="28" eb="30">
      <t>コウ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</si>
</sst>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176" fontId="0" fillId="0" borderId="2" xfId="0" applyNumberFormat="1" applyBorder="1" applyAlignment="1">
      <alignment horizontal="right" vertical="center"/>
    </xf>
    <xf numFmtId="176" fontId="0" fillId="0" borderId="3" xfId="0" applyNumberFormat="1" applyBorder="1" applyAlignment="1">
      <alignment horizontal="right" vertical="center"/>
    </xf>
    <xf numFmtId="176" fontId="0" fillId="0" borderId="4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/>
              <a:t>たまねぎの小売価格の推移（東京都区部）</a:t>
            </a:r>
          </a:p>
        </c:rich>
      </c:tx>
      <c:layout>
        <c:manualLayout>
          <c:xMode val="edge"/>
          <c:yMode val="edge"/>
          <c:x val="0.35937503073119598"/>
          <c:y val="2.02021311713894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80555555555556"/>
          <c:y val="0.11111117012565672"/>
          <c:w val="0.73750000000000004"/>
          <c:h val="0.73905723905723908"/>
        </c:manualLayout>
      </c:layout>
      <c:lineChart>
        <c:grouping val="standard"/>
        <c:varyColors val="0"/>
        <c:ser>
          <c:idx val="2"/>
          <c:order val="0"/>
          <c:tx>
            <c:strRef>
              <c:f>Sheet１!$U$3</c:f>
              <c:strCache>
                <c:ptCount val="1"/>
                <c:pt idx="0">
                  <c:v>2024年</c:v>
                </c:pt>
              </c:strCache>
            </c:strRef>
          </c:tx>
          <c:spPr>
            <a:ln>
              <a:solidFill>
                <a:srgbClr val="FF3300"/>
              </a:solidFill>
            </a:ln>
          </c:spPr>
          <c:marker>
            <c:symbol val="square"/>
            <c:size val="5"/>
            <c:spPr>
              <a:solidFill>
                <a:srgbClr val="FF3300"/>
              </a:solidFill>
              <a:ln>
                <a:solidFill>
                  <a:srgbClr val="FF3300"/>
                </a:solidFill>
              </a:ln>
            </c:spPr>
          </c:marker>
          <c:val>
            <c:numRef>
              <c:f>Sheet１!$U$4:$U$15</c:f>
              <c:numCache>
                <c:formatCode>General</c:formatCode>
                <c:ptCount val="12"/>
                <c:pt idx="0">
                  <c:v>416</c:v>
                </c:pt>
                <c:pt idx="1">
                  <c:v>425</c:v>
                </c:pt>
                <c:pt idx="2">
                  <c:v>410</c:v>
                </c:pt>
                <c:pt idx="3">
                  <c:v>382</c:v>
                </c:pt>
                <c:pt idx="4">
                  <c:v>362</c:v>
                </c:pt>
                <c:pt idx="5">
                  <c:v>357</c:v>
                </c:pt>
                <c:pt idx="6">
                  <c:v>397</c:v>
                </c:pt>
                <c:pt idx="7">
                  <c:v>404</c:v>
                </c:pt>
                <c:pt idx="8">
                  <c:v>348</c:v>
                </c:pt>
                <c:pt idx="9">
                  <c:v>397</c:v>
                </c:pt>
                <c:pt idx="10">
                  <c:v>323</c:v>
                </c:pt>
                <c:pt idx="11">
                  <c:v>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D6-4559-9E67-8AE382364E45}"/>
            </c:ext>
          </c:extLst>
        </c:ser>
        <c:ser>
          <c:idx val="0"/>
          <c:order val="1"/>
          <c:tx>
            <c:strRef>
              <c:f>Sheet１!$V$3</c:f>
              <c:strCache>
                <c:ptCount val="1"/>
                <c:pt idx="0">
                  <c:v>2025年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marker>
            <c:symbol val="circle"/>
            <c:size val="7"/>
            <c:spPr>
              <a:solidFill>
                <a:srgbClr val="FFFF00"/>
              </a:solidFill>
              <a:ln>
                <a:solidFill>
                  <a:srgbClr val="FFFF00"/>
                </a:solidFill>
              </a:ln>
            </c:spPr>
          </c:marker>
          <c:val>
            <c:numRef>
              <c:f>Sheet１!$V$4:$V$15</c:f>
              <c:numCache>
                <c:formatCode>General</c:formatCode>
                <c:ptCount val="12"/>
                <c:pt idx="0">
                  <c:v>377</c:v>
                </c:pt>
                <c:pt idx="1">
                  <c:v>381</c:v>
                </c:pt>
                <c:pt idx="2">
                  <c:v>374</c:v>
                </c:pt>
                <c:pt idx="3">
                  <c:v>392</c:v>
                </c:pt>
                <c:pt idx="4">
                  <c:v>416</c:v>
                </c:pt>
                <c:pt idx="5">
                  <c:v>397</c:v>
                </c:pt>
                <c:pt idx="6">
                  <c:v>366</c:v>
                </c:pt>
                <c:pt idx="7">
                  <c:v>371</c:v>
                </c:pt>
                <c:pt idx="8">
                  <c:v>379</c:v>
                </c:pt>
                <c:pt idx="9">
                  <c:v>449</c:v>
                </c:pt>
                <c:pt idx="10">
                  <c:v>479</c:v>
                </c:pt>
                <c:pt idx="11">
                  <c:v>513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D6-4559-9E67-8AE382364E45}"/>
            </c:ext>
          </c:extLst>
        </c:ser>
        <c:ser>
          <c:idx val="3"/>
          <c:order val="2"/>
          <c:tx>
            <c:strRef>
              <c:f>Sheet１!$W$3</c:f>
              <c:strCache>
                <c:ptCount val="1"/>
                <c:pt idx="0">
                  <c:v>2026年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triangle"/>
            <c:size val="6"/>
            <c:spPr>
              <a:solidFill>
                <a:schemeClr val="accent1"/>
              </a:solidFill>
              <a:ln>
                <a:solidFill>
                  <a:srgbClr val="0070C0"/>
                </a:solidFill>
              </a:ln>
            </c:spPr>
          </c:marker>
          <c:val>
            <c:numRef>
              <c:f>Sheet１!$W$4:$W$15</c:f>
              <c:numCache>
                <c:formatCode>0_);[Red]\(0\)</c:formatCode>
                <c:ptCount val="12"/>
                <c:pt idx="0">
                  <c:v>526</c:v>
                </c:pt>
                <c:pt idx="1">
                  <c:v>524</c:v>
                </c:pt>
                <c:pt idx="2">
                  <c:v>540</c:v>
                </c:pt>
                <c:pt idx="3">
                  <c:v>542</c:v>
                </c:pt>
                <c:pt idx="4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D6-4559-9E67-8AE382364E45}"/>
            </c:ext>
          </c:extLst>
        </c:ser>
        <c:ser>
          <c:idx val="1"/>
          <c:order val="3"/>
          <c:tx>
            <c:strRef>
              <c:f>Sheet１!$X$3</c:f>
              <c:strCache>
                <c:ptCount val="1"/>
                <c:pt idx="0">
                  <c:v>平年値</c:v>
                </c:pt>
              </c:strCache>
            </c:strRef>
          </c:tx>
          <c:spPr>
            <a:ln w="28575">
              <a:solidFill>
                <a:srgbClr val="92D05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92D050"/>
              </a:solidFill>
              <a:ln>
                <a:solidFill>
                  <a:srgbClr val="92D050"/>
                </a:solidFill>
                <a:prstDash val="solid"/>
              </a:ln>
            </c:spPr>
          </c:marker>
          <c:val>
            <c:numRef>
              <c:f>Sheet１!$X$4:$X$15</c:f>
              <c:numCache>
                <c:formatCode>General</c:formatCode>
                <c:ptCount val="12"/>
                <c:pt idx="0">
                  <c:v>344.4</c:v>
                </c:pt>
                <c:pt idx="1">
                  <c:v>345</c:v>
                </c:pt>
                <c:pt idx="2">
                  <c:v>349</c:v>
                </c:pt>
                <c:pt idx="3">
                  <c:v>360.8</c:v>
                </c:pt>
                <c:pt idx="4">
                  <c:v>376</c:v>
                </c:pt>
                <c:pt idx="5">
                  <c:v>355.2</c:v>
                </c:pt>
                <c:pt idx="6">
                  <c:v>345.8</c:v>
                </c:pt>
                <c:pt idx="7">
                  <c:v>347.6</c:v>
                </c:pt>
                <c:pt idx="8">
                  <c:v>319.39999999999998</c:v>
                </c:pt>
                <c:pt idx="9">
                  <c:v>340.8</c:v>
                </c:pt>
                <c:pt idx="10">
                  <c:v>351.4</c:v>
                </c:pt>
                <c:pt idx="11">
                  <c:v>384.2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D6-4559-9E67-8AE382364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5300744"/>
        <c:axId val="1"/>
      </c:lineChart>
      <c:catAx>
        <c:axId val="465300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（月）</a:t>
                </a:r>
              </a:p>
            </c:rich>
          </c:tx>
          <c:layout>
            <c:manualLayout>
              <c:xMode val="edge"/>
              <c:yMode val="edge"/>
              <c:x val="0.85937492146472139"/>
              <c:y val="0.8670033452271197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1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（円/kg）</a:t>
                </a:r>
              </a:p>
            </c:rich>
          </c:tx>
          <c:layout>
            <c:manualLayout>
              <c:xMode val="edge"/>
              <c:yMode val="edge"/>
              <c:x val="0"/>
              <c:y val="0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465300744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062502390204135"/>
          <c:y val="0.32323232681198028"/>
          <c:w val="8.3333387966570527E-2"/>
          <c:h val="0.1430977203585748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 codeName="Graph1"/>
  <sheetViews>
    <sheetView tabSelected="1" workbookViewId="0"/>
  </sheetViews>
  <pageMargins left="0.78700000000000003" right="0.78700000000000003" top="0.98399999999999999" bottom="0.98399999999999999" header="0.51200000000000001" footer="0.51200000000000001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8780" cy="606552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767C404-A972-4C3D-B482-8C596EF766B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X18"/>
  <sheetViews>
    <sheetView workbookViewId="0">
      <selection activeCell="W8" sqref="W8"/>
    </sheetView>
  </sheetViews>
  <sheetFormatPr defaultRowHeight="15" customHeight="1" x14ac:dyDescent="0.2"/>
  <cols>
    <col min="2" max="2" width="9.44140625" customWidth="1"/>
    <col min="3" max="11" width="9.6640625" hidden="1" customWidth="1"/>
    <col min="12" max="23" width="9.6640625" customWidth="1"/>
  </cols>
  <sheetData>
    <row r="2" spans="2:24" ht="15" customHeight="1" x14ac:dyDescent="0.2">
      <c r="B2" t="s">
        <v>16</v>
      </c>
      <c r="X2" s="2" t="s">
        <v>17</v>
      </c>
    </row>
    <row r="3" spans="2:24" ht="15" customHeight="1" x14ac:dyDescent="0.2">
      <c r="B3" s="1"/>
      <c r="C3" s="3" t="s">
        <v>12</v>
      </c>
      <c r="D3" s="3" t="s">
        <v>13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24</v>
      </c>
      <c r="L3" s="3" t="s">
        <v>25</v>
      </c>
      <c r="M3" s="3" t="s">
        <v>26</v>
      </c>
      <c r="N3" s="3" t="s">
        <v>27</v>
      </c>
      <c r="O3" s="3" t="s">
        <v>28</v>
      </c>
      <c r="P3" s="3" t="s">
        <v>29</v>
      </c>
      <c r="Q3" s="3" t="s">
        <v>30</v>
      </c>
      <c r="R3" s="3" t="s">
        <v>31</v>
      </c>
      <c r="S3" s="3" t="s">
        <v>32</v>
      </c>
      <c r="T3" s="3" t="s">
        <v>33</v>
      </c>
      <c r="U3" s="3" t="s">
        <v>34</v>
      </c>
      <c r="V3" s="3" t="s">
        <v>35</v>
      </c>
      <c r="W3" s="3" t="s">
        <v>36</v>
      </c>
      <c r="X3" s="3" t="s">
        <v>15</v>
      </c>
    </row>
    <row r="4" spans="2:24" ht="15" customHeight="1" x14ac:dyDescent="0.2">
      <c r="B4" s="5" t="s">
        <v>0</v>
      </c>
      <c r="C4" s="5">
        <v>211</v>
      </c>
      <c r="D4" s="5">
        <v>227</v>
      </c>
      <c r="E4" s="5">
        <v>201</v>
      </c>
      <c r="F4" s="5">
        <v>204</v>
      </c>
      <c r="G4" s="5">
        <v>236</v>
      </c>
      <c r="H4" s="5">
        <v>307</v>
      </c>
      <c r="I4" s="5">
        <v>225</v>
      </c>
      <c r="J4" s="5">
        <v>226</v>
      </c>
      <c r="K4" s="5">
        <v>274</v>
      </c>
      <c r="L4" s="5">
        <v>242</v>
      </c>
      <c r="M4" s="5">
        <v>232</v>
      </c>
      <c r="N4" s="5">
        <v>235</v>
      </c>
      <c r="O4" s="5">
        <v>238</v>
      </c>
      <c r="P4" s="5">
        <v>271</v>
      </c>
      <c r="Q4" s="5">
        <v>242</v>
      </c>
      <c r="R4" s="5">
        <v>245</v>
      </c>
      <c r="S4" s="5">
        <v>405</v>
      </c>
      <c r="T4" s="5">
        <v>279</v>
      </c>
      <c r="U4" s="5">
        <v>416</v>
      </c>
      <c r="V4" s="5">
        <v>377</v>
      </c>
      <c r="W4" s="5">
        <v>526</v>
      </c>
      <c r="X4" s="5">
        <f>AVERAGE(R4:V4)</f>
        <v>344.4</v>
      </c>
    </row>
    <row r="5" spans="2:24" ht="15" customHeight="1" x14ac:dyDescent="0.2">
      <c r="B5" s="6" t="s">
        <v>1</v>
      </c>
      <c r="C5" s="6">
        <v>228</v>
      </c>
      <c r="D5" s="6">
        <v>228</v>
      </c>
      <c r="E5" s="6">
        <v>200</v>
      </c>
      <c r="F5" s="6">
        <v>202</v>
      </c>
      <c r="G5" s="6">
        <v>252</v>
      </c>
      <c r="H5" s="6">
        <v>307</v>
      </c>
      <c r="I5" s="6">
        <v>228</v>
      </c>
      <c r="J5" s="6">
        <v>228</v>
      </c>
      <c r="K5" s="6">
        <v>276</v>
      </c>
      <c r="L5" s="6">
        <v>245</v>
      </c>
      <c r="M5" s="6">
        <v>231</v>
      </c>
      <c r="N5" s="6">
        <v>236</v>
      </c>
      <c r="O5" s="6">
        <v>239</v>
      </c>
      <c r="P5" s="6">
        <v>289</v>
      </c>
      <c r="Q5" s="6">
        <v>241</v>
      </c>
      <c r="R5" s="6">
        <v>251</v>
      </c>
      <c r="S5" s="6">
        <v>402</v>
      </c>
      <c r="T5" s="6">
        <v>266</v>
      </c>
      <c r="U5" s="6">
        <v>425</v>
      </c>
      <c r="V5" s="6">
        <v>381</v>
      </c>
      <c r="W5" s="6">
        <v>524</v>
      </c>
      <c r="X5" s="6">
        <f t="shared" ref="X5:X16" si="0">AVERAGE(R5:V5)</f>
        <v>345</v>
      </c>
    </row>
    <row r="6" spans="2:24" ht="15" customHeight="1" x14ac:dyDescent="0.2">
      <c r="B6" s="6" t="s">
        <v>2</v>
      </c>
      <c r="C6" s="6">
        <v>238</v>
      </c>
      <c r="D6" s="6">
        <v>228</v>
      </c>
      <c r="E6" s="6">
        <v>213</v>
      </c>
      <c r="F6" s="6">
        <v>204</v>
      </c>
      <c r="G6" s="6">
        <v>262</v>
      </c>
      <c r="H6" s="6">
        <v>313</v>
      </c>
      <c r="I6" s="6">
        <v>228</v>
      </c>
      <c r="J6" s="6">
        <v>220</v>
      </c>
      <c r="K6" s="6">
        <v>280</v>
      </c>
      <c r="L6" s="6">
        <v>240</v>
      </c>
      <c r="M6" s="6">
        <v>235</v>
      </c>
      <c r="N6" s="6">
        <v>244</v>
      </c>
      <c r="O6" s="6">
        <v>248</v>
      </c>
      <c r="P6" s="6">
        <v>298</v>
      </c>
      <c r="Q6" s="6">
        <v>237</v>
      </c>
      <c r="R6" s="6">
        <v>254</v>
      </c>
      <c r="S6" s="6">
        <v>420</v>
      </c>
      <c r="T6" s="6">
        <v>287</v>
      </c>
      <c r="U6" s="6">
        <v>410</v>
      </c>
      <c r="V6" s="6">
        <v>374</v>
      </c>
      <c r="W6" s="6">
        <v>540</v>
      </c>
      <c r="X6" s="6">
        <f t="shared" si="0"/>
        <v>349</v>
      </c>
    </row>
    <row r="7" spans="2:24" ht="15" customHeight="1" x14ac:dyDescent="0.2">
      <c r="B7" s="6" t="s">
        <v>3</v>
      </c>
      <c r="C7" s="6">
        <v>249</v>
      </c>
      <c r="D7" s="6">
        <v>230</v>
      </c>
      <c r="E7" s="6">
        <v>206</v>
      </c>
      <c r="F7" s="6">
        <v>208</v>
      </c>
      <c r="G7" s="6">
        <v>263</v>
      </c>
      <c r="H7" s="6">
        <v>313</v>
      </c>
      <c r="I7" s="6">
        <v>239</v>
      </c>
      <c r="J7" s="6">
        <v>218</v>
      </c>
      <c r="K7" s="6">
        <v>283</v>
      </c>
      <c r="L7" s="6">
        <v>242</v>
      </c>
      <c r="M7" s="6">
        <v>241</v>
      </c>
      <c r="N7" s="6">
        <v>264</v>
      </c>
      <c r="O7" s="6">
        <v>250</v>
      </c>
      <c r="P7" s="6">
        <v>298</v>
      </c>
      <c r="Q7" s="6">
        <v>240</v>
      </c>
      <c r="R7" s="6">
        <v>257</v>
      </c>
      <c r="S7" s="6">
        <v>485</v>
      </c>
      <c r="T7" s="6">
        <v>288</v>
      </c>
      <c r="U7" s="6">
        <v>382</v>
      </c>
      <c r="V7" s="6">
        <v>392</v>
      </c>
      <c r="W7" s="6">
        <v>542</v>
      </c>
      <c r="X7" s="6">
        <f t="shared" si="0"/>
        <v>360.8</v>
      </c>
    </row>
    <row r="8" spans="2:24" ht="15" customHeight="1" x14ac:dyDescent="0.2">
      <c r="B8" s="6" t="s">
        <v>4</v>
      </c>
      <c r="C8" s="6">
        <v>236</v>
      </c>
      <c r="D8" s="6">
        <v>222</v>
      </c>
      <c r="E8" s="6">
        <v>201</v>
      </c>
      <c r="F8" s="6">
        <v>212</v>
      </c>
      <c r="G8" s="6">
        <v>250</v>
      </c>
      <c r="H8" s="6">
        <v>265</v>
      </c>
      <c r="I8" s="6">
        <v>247</v>
      </c>
      <c r="J8" s="6">
        <v>207</v>
      </c>
      <c r="K8" s="6">
        <v>267</v>
      </c>
      <c r="L8" s="6">
        <v>268</v>
      </c>
      <c r="M8" s="6">
        <v>237</v>
      </c>
      <c r="N8" s="6">
        <v>269</v>
      </c>
      <c r="O8" s="6">
        <v>248</v>
      </c>
      <c r="P8" s="6">
        <v>281</v>
      </c>
      <c r="Q8" s="6">
        <v>232</v>
      </c>
      <c r="R8" s="6">
        <v>255</v>
      </c>
      <c r="S8" s="6">
        <v>560</v>
      </c>
      <c r="T8" s="6">
        <v>287</v>
      </c>
      <c r="U8" s="6">
        <v>362</v>
      </c>
      <c r="V8" s="6">
        <v>416</v>
      </c>
      <c r="W8" s="6">
        <v>500</v>
      </c>
      <c r="X8" s="6">
        <f t="shared" si="0"/>
        <v>376</v>
      </c>
    </row>
    <row r="9" spans="2:24" ht="15" customHeight="1" x14ac:dyDescent="0.2">
      <c r="B9" s="6" t="s">
        <v>5</v>
      </c>
      <c r="C9" s="6">
        <v>207</v>
      </c>
      <c r="D9" s="6">
        <v>212</v>
      </c>
      <c r="E9" s="6">
        <v>196</v>
      </c>
      <c r="F9" s="6">
        <v>205</v>
      </c>
      <c r="G9" s="6">
        <v>236</v>
      </c>
      <c r="H9" s="6">
        <v>222</v>
      </c>
      <c r="I9" s="6">
        <v>237</v>
      </c>
      <c r="J9" s="6">
        <v>190</v>
      </c>
      <c r="K9" s="6">
        <v>259</v>
      </c>
      <c r="L9" s="6">
        <v>296</v>
      </c>
      <c r="M9" s="6">
        <v>283</v>
      </c>
      <c r="N9" s="6">
        <v>265</v>
      </c>
      <c r="O9" s="6">
        <v>234</v>
      </c>
      <c r="P9" s="6">
        <v>272</v>
      </c>
      <c r="Q9" s="6">
        <v>241</v>
      </c>
      <c r="R9" s="6">
        <v>261</v>
      </c>
      <c r="S9" s="6">
        <v>487</v>
      </c>
      <c r="T9" s="6">
        <v>274</v>
      </c>
      <c r="U9" s="6">
        <v>357</v>
      </c>
      <c r="V9" s="6">
        <v>397</v>
      </c>
      <c r="W9" s="6"/>
      <c r="X9" s="6">
        <f t="shared" si="0"/>
        <v>355.2</v>
      </c>
    </row>
    <row r="10" spans="2:24" ht="15" customHeight="1" x14ac:dyDescent="0.2">
      <c r="B10" s="6" t="s">
        <v>6</v>
      </c>
      <c r="C10" s="6">
        <v>200</v>
      </c>
      <c r="D10" s="6">
        <v>208</v>
      </c>
      <c r="E10" s="6">
        <v>198</v>
      </c>
      <c r="F10" s="6">
        <v>205</v>
      </c>
      <c r="G10" s="6">
        <v>226</v>
      </c>
      <c r="H10" s="6">
        <v>209</v>
      </c>
      <c r="I10" s="6">
        <v>266</v>
      </c>
      <c r="J10" s="6">
        <v>203</v>
      </c>
      <c r="K10" s="6">
        <v>241</v>
      </c>
      <c r="L10" s="6">
        <v>302</v>
      </c>
      <c r="M10" s="6">
        <v>309</v>
      </c>
      <c r="N10" s="6">
        <v>258</v>
      </c>
      <c r="O10" s="6">
        <v>232</v>
      </c>
      <c r="P10" s="6">
        <v>244</v>
      </c>
      <c r="Q10" s="6">
        <v>260</v>
      </c>
      <c r="R10" s="6">
        <v>267</v>
      </c>
      <c r="S10" s="6">
        <v>414</v>
      </c>
      <c r="T10" s="6">
        <v>285</v>
      </c>
      <c r="U10" s="6">
        <v>397</v>
      </c>
      <c r="V10" s="6">
        <v>366</v>
      </c>
      <c r="W10" s="6"/>
      <c r="X10" s="6">
        <f t="shared" si="0"/>
        <v>345.8</v>
      </c>
    </row>
    <row r="11" spans="2:24" ht="15" customHeight="1" x14ac:dyDescent="0.2">
      <c r="B11" s="6" t="s">
        <v>7</v>
      </c>
      <c r="C11" s="6">
        <v>202</v>
      </c>
      <c r="D11" s="6">
        <v>227</v>
      </c>
      <c r="E11" s="6">
        <v>202</v>
      </c>
      <c r="F11" s="6">
        <v>251</v>
      </c>
      <c r="G11" s="6">
        <v>234</v>
      </c>
      <c r="H11" s="6">
        <v>210</v>
      </c>
      <c r="I11" s="6">
        <v>271</v>
      </c>
      <c r="J11" s="6">
        <v>227</v>
      </c>
      <c r="K11" s="6">
        <v>253</v>
      </c>
      <c r="L11" s="6">
        <v>320</v>
      </c>
      <c r="M11" s="6">
        <v>350</v>
      </c>
      <c r="N11" s="6">
        <v>256</v>
      </c>
      <c r="O11" s="6">
        <v>262</v>
      </c>
      <c r="P11" s="6">
        <v>246</v>
      </c>
      <c r="Q11" s="6">
        <v>300</v>
      </c>
      <c r="R11" s="6">
        <v>272</v>
      </c>
      <c r="S11" s="6">
        <v>380</v>
      </c>
      <c r="T11" s="6">
        <v>311</v>
      </c>
      <c r="U11" s="6">
        <v>404</v>
      </c>
      <c r="V11" s="6">
        <v>371</v>
      </c>
      <c r="W11" s="6"/>
      <c r="X11" s="6">
        <f t="shared" si="0"/>
        <v>347.6</v>
      </c>
    </row>
    <row r="12" spans="2:24" ht="15" customHeight="1" x14ac:dyDescent="0.2">
      <c r="B12" s="6" t="s">
        <v>8</v>
      </c>
      <c r="C12" s="6">
        <v>211</v>
      </c>
      <c r="D12" s="6">
        <v>226</v>
      </c>
      <c r="E12" s="6">
        <v>210</v>
      </c>
      <c r="F12" s="6">
        <v>248</v>
      </c>
      <c r="G12" s="6">
        <v>249</v>
      </c>
      <c r="H12" s="6">
        <v>223</v>
      </c>
      <c r="I12" s="6">
        <v>233</v>
      </c>
      <c r="J12" s="6">
        <v>235</v>
      </c>
      <c r="K12" s="6">
        <v>263</v>
      </c>
      <c r="L12" s="6">
        <v>263</v>
      </c>
      <c r="M12" s="6">
        <v>331</v>
      </c>
      <c r="N12" s="6">
        <v>241</v>
      </c>
      <c r="O12" s="6">
        <v>272</v>
      </c>
      <c r="P12" s="6">
        <v>244</v>
      </c>
      <c r="Q12" s="6">
        <v>264</v>
      </c>
      <c r="R12" s="6">
        <v>282</v>
      </c>
      <c r="S12" s="6">
        <v>312</v>
      </c>
      <c r="T12" s="6">
        <v>276</v>
      </c>
      <c r="U12" s="6">
        <v>348</v>
      </c>
      <c r="V12" s="6">
        <v>379</v>
      </c>
      <c r="W12" s="6"/>
      <c r="X12" s="6">
        <f t="shared" si="0"/>
        <v>319.39999999999998</v>
      </c>
    </row>
    <row r="13" spans="2:24" ht="15" customHeight="1" x14ac:dyDescent="0.2">
      <c r="B13" s="6" t="s">
        <v>9</v>
      </c>
      <c r="C13" s="6">
        <v>213</v>
      </c>
      <c r="D13" s="6">
        <v>221</v>
      </c>
      <c r="E13" s="6">
        <v>203</v>
      </c>
      <c r="F13" s="6">
        <v>226</v>
      </c>
      <c r="G13" s="6">
        <v>262</v>
      </c>
      <c r="H13" s="6">
        <v>225</v>
      </c>
      <c r="I13" s="6">
        <v>220</v>
      </c>
      <c r="J13" s="6">
        <v>241</v>
      </c>
      <c r="K13" s="6">
        <v>252</v>
      </c>
      <c r="L13" s="6">
        <v>248</v>
      </c>
      <c r="M13" s="6">
        <v>270</v>
      </c>
      <c r="N13" s="6">
        <v>235</v>
      </c>
      <c r="O13" s="6">
        <v>260</v>
      </c>
      <c r="P13" s="6">
        <v>230</v>
      </c>
      <c r="Q13" s="6">
        <v>243</v>
      </c>
      <c r="R13" s="6">
        <v>288</v>
      </c>
      <c r="S13" s="6">
        <v>294</v>
      </c>
      <c r="T13" s="6">
        <v>276</v>
      </c>
      <c r="U13" s="6">
        <v>397</v>
      </c>
      <c r="V13" s="6">
        <v>449</v>
      </c>
      <c r="W13" s="6"/>
      <c r="X13" s="6">
        <f t="shared" si="0"/>
        <v>340.8</v>
      </c>
    </row>
    <row r="14" spans="2:24" ht="15" customHeight="1" x14ac:dyDescent="0.2">
      <c r="B14" s="6" t="s">
        <v>10</v>
      </c>
      <c r="C14" s="6">
        <v>214</v>
      </c>
      <c r="D14" s="6">
        <v>211</v>
      </c>
      <c r="E14" s="6">
        <v>207</v>
      </c>
      <c r="F14" s="6">
        <v>224</v>
      </c>
      <c r="G14" s="6">
        <v>277</v>
      </c>
      <c r="H14" s="6">
        <v>226</v>
      </c>
      <c r="I14" s="6">
        <v>215</v>
      </c>
      <c r="J14" s="6">
        <v>242</v>
      </c>
      <c r="K14" s="6">
        <v>244</v>
      </c>
      <c r="L14" s="6">
        <v>239</v>
      </c>
      <c r="M14" s="6">
        <v>251</v>
      </c>
      <c r="N14" s="6">
        <v>233</v>
      </c>
      <c r="O14" s="6">
        <v>259</v>
      </c>
      <c r="P14" s="6">
        <v>235</v>
      </c>
      <c r="Q14" s="6">
        <v>244</v>
      </c>
      <c r="R14" s="6">
        <v>330</v>
      </c>
      <c r="S14" s="6">
        <v>275</v>
      </c>
      <c r="T14" s="6">
        <v>350</v>
      </c>
      <c r="U14" s="6">
        <v>323</v>
      </c>
      <c r="V14" s="6">
        <v>479</v>
      </c>
      <c r="W14" s="6"/>
      <c r="X14" s="6">
        <f t="shared" si="0"/>
        <v>351.4</v>
      </c>
    </row>
    <row r="15" spans="2:24" ht="15" customHeight="1" x14ac:dyDescent="0.2">
      <c r="B15" s="7" t="s">
        <v>11</v>
      </c>
      <c r="C15" s="7">
        <v>220</v>
      </c>
      <c r="D15" s="7">
        <v>215</v>
      </c>
      <c r="E15" s="5">
        <v>208</v>
      </c>
      <c r="F15" s="5">
        <v>228</v>
      </c>
      <c r="G15" s="5">
        <v>290</v>
      </c>
      <c r="H15" s="5">
        <v>227</v>
      </c>
      <c r="I15" s="5">
        <v>216</v>
      </c>
      <c r="J15" s="5">
        <v>257</v>
      </c>
      <c r="K15" s="5">
        <v>241</v>
      </c>
      <c r="L15" s="5">
        <v>232</v>
      </c>
      <c r="M15" s="5">
        <v>239</v>
      </c>
      <c r="N15" s="5">
        <v>235</v>
      </c>
      <c r="O15" s="5">
        <v>260</v>
      </c>
      <c r="P15" s="5">
        <v>237</v>
      </c>
      <c r="Q15" s="5">
        <v>242</v>
      </c>
      <c r="R15" s="5">
        <v>383</v>
      </c>
      <c r="S15" s="5">
        <v>267</v>
      </c>
      <c r="T15" s="5">
        <v>400</v>
      </c>
      <c r="U15" s="5">
        <v>358</v>
      </c>
      <c r="V15" s="5">
        <v>513</v>
      </c>
      <c r="W15" s="5"/>
      <c r="X15" s="5">
        <f t="shared" si="0"/>
        <v>384.2</v>
      </c>
    </row>
    <row r="16" spans="2:24" ht="15" customHeight="1" x14ac:dyDescent="0.2">
      <c r="B16" s="8" t="s">
        <v>14</v>
      </c>
      <c r="C16" s="8">
        <f>AVERAGE(C4:C15)</f>
        <v>219.08333333333334</v>
      </c>
      <c r="D16" s="8">
        <f>AVERAGE(D4:D15)</f>
        <v>221.25</v>
      </c>
      <c r="E16" s="8">
        <f>AVERAGE(E4:E15)</f>
        <v>203.75</v>
      </c>
      <c r="F16" s="8">
        <f t="shared" ref="F16:K16" si="1">AVERAGE(F4:F15)</f>
        <v>218.08333333333334</v>
      </c>
      <c r="G16" s="8">
        <f t="shared" si="1"/>
        <v>253.08333333333334</v>
      </c>
      <c r="H16" s="8">
        <f t="shared" si="1"/>
        <v>253.91666666666666</v>
      </c>
      <c r="I16" s="8">
        <f t="shared" si="1"/>
        <v>235.41666666666666</v>
      </c>
      <c r="J16" s="8">
        <f t="shared" si="1"/>
        <v>224.5</v>
      </c>
      <c r="K16" s="8">
        <f t="shared" si="1"/>
        <v>261.08333333333331</v>
      </c>
      <c r="L16" s="8">
        <f t="shared" ref="L16:R16" si="2">AVERAGE(L4:L15)</f>
        <v>261.41666666666669</v>
      </c>
      <c r="M16" s="8">
        <f t="shared" si="2"/>
        <v>267.41666666666669</v>
      </c>
      <c r="N16" s="8">
        <f t="shared" si="2"/>
        <v>247.58333333333334</v>
      </c>
      <c r="O16" s="8">
        <f t="shared" si="2"/>
        <v>250.16666666666666</v>
      </c>
      <c r="P16" s="8">
        <f t="shared" si="2"/>
        <v>262.08333333333331</v>
      </c>
      <c r="Q16" s="8">
        <f t="shared" si="2"/>
        <v>248.83333333333334</v>
      </c>
      <c r="R16" s="8">
        <f t="shared" si="2"/>
        <v>278.75</v>
      </c>
      <c r="S16" s="8">
        <f>AVERAGE(S4:S15)</f>
        <v>391.75</v>
      </c>
      <c r="T16" s="8">
        <f>IFERROR(AVERAGE(T4:T15),"")</f>
        <v>298.25</v>
      </c>
      <c r="U16" s="8">
        <f>IFERROR(AVERAGE(U4:U15),"")</f>
        <v>381.58333333333331</v>
      </c>
      <c r="V16" s="8">
        <f>IFERROR(AVERAGE(V4:V15),"")</f>
        <v>407.83333333333331</v>
      </c>
      <c r="W16" s="8">
        <f>IFERROR(AVERAGE(W4:W15),"")</f>
        <v>526.4</v>
      </c>
      <c r="X16" s="8">
        <f t="shared" si="0"/>
        <v>351.63333333333333</v>
      </c>
    </row>
    <row r="18" spans="2:2" ht="15" customHeight="1" x14ac:dyDescent="0.2">
      <c r="B18" s="4" t="s">
        <v>37</v>
      </c>
    </row>
  </sheetData>
  <phoneticPr fontId="1"/>
  <pageMargins left="0.78700000000000003" right="0.78700000000000003" top="0.98399999999999999" bottom="0.98399999999999999" header="0.51200000000000001" footer="0.51200000000000001"/>
  <pageSetup paperSize="9" orientation="landscape" verticalDpi="300" r:id="rId1"/>
  <headerFooter alignWithMargins="0"/>
  <ignoredErrors>
    <ignoredError sqref="J1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グラフ</vt:lpstr>
      </vt:variant>
      <vt:variant>
        <vt:i4>1</vt:i4>
      </vt:variant>
    </vt:vector>
  </HeadingPairs>
  <TitlesOfParts>
    <vt:vector size="2" baseType="lpstr">
      <vt:lpstr>Sheet１</vt:lpstr>
      <vt:lpstr>Graph</vt:lpstr>
    </vt:vector>
  </TitlesOfParts>
  <Company>alic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takada</dc:creator>
  <cp:lastModifiedBy>ベジ探</cp:lastModifiedBy>
  <cp:lastPrinted>2007-04-18T06:53:20Z</cp:lastPrinted>
  <dcterms:created xsi:type="dcterms:W3CDTF">2007-03-20T10:21:47Z</dcterms:created>
  <dcterms:modified xsi:type="dcterms:W3CDTF">2026-06-26T00:32:22Z</dcterms:modified>
</cp:coreProperties>
</file>